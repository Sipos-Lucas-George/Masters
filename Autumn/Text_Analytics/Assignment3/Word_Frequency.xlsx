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velopment/Master/Autumn/Text_Analytics/Assignment3/"/>
    </mc:Choice>
  </mc:AlternateContent>
  <xr:revisionPtr revIDLastSave="0" documentId="8_{DEE9224F-45BB-3744-A234-69DEDDB0B360}" xr6:coauthVersionLast="47" xr6:coauthVersionMax="47" xr10:uidLastSave="{00000000-0000-0000-0000-000000000000}"/>
  <bookViews>
    <workbookView xWindow="0" yWindow="760" windowWidth="34560" windowHeight="21580" xr2:uid="{D5C7C5F9-431E-8B44-9EEA-32A67D4803A6}"/>
  </bookViews>
  <sheets>
    <sheet name="Sheet1" sheetId="1" r:id="rId1"/>
  </sheets>
  <definedNames>
    <definedName name="_xlchart.v1.0" hidden="1">Sheet1!$C$16:$C$17</definedName>
    <definedName name="_xlchart.v1.1" hidden="1">Sheet1!$C$18</definedName>
    <definedName name="_xlchart.v1.10" hidden="1">Sheet1!$H$16:$H$17</definedName>
    <definedName name="_xlchart.v1.11" hidden="1">Sheet1!$H$18</definedName>
    <definedName name="_xlchart.v1.12" hidden="1">Sheet1!$I$16:$I$17</definedName>
    <definedName name="_xlchart.v1.13" hidden="1">Sheet1!$I$18</definedName>
    <definedName name="_xlchart.v1.14" hidden="1">Sheet1!$J$16:$J$17</definedName>
    <definedName name="_xlchart.v1.15" hidden="1">Sheet1!$J$18</definedName>
    <definedName name="_xlchart.v1.16" hidden="1">Sheet1!$K$16:$K$17</definedName>
    <definedName name="_xlchart.v1.17" hidden="1">Sheet1!$K$18</definedName>
    <definedName name="_xlchart.v1.18" hidden="1">Sheet1!$L$16:$L$17</definedName>
    <definedName name="_xlchart.v1.19" hidden="1">Sheet1!$L$18</definedName>
    <definedName name="_xlchart.v1.2" hidden="1">Sheet1!$D$16:$D$17</definedName>
    <definedName name="_xlchart.v1.20" hidden="1">Sheet1!$C$16:$C$17</definedName>
    <definedName name="_xlchart.v1.21" hidden="1">Sheet1!$C$18</definedName>
    <definedName name="_xlchart.v1.22" hidden="1">Sheet1!$D$16:$D$17</definedName>
    <definedName name="_xlchart.v1.23" hidden="1">Sheet1!$D$18</definedName>
    <definedName name="_xlchart.v1.24" hidden="1">Sheet1!$E$16:$E$17</definedName>
    <definedName name="_xlchart.v1.25" hidden="1">Sheet1!$E$18</definedName>
    <definedName name="_xlchart.v1.26" hidden="1">Sheet1!$F$16:$F$17</definedName>
    <definedName name="_xlchart.v1.27" hidden="1">Sheet1!$F$18</definedName>
    <definedName name="_xlchart.v1.28" hidden="1">Sheet1!$G$16:$G$17</definedName>
    <definedName name="_xlchart.v1.29" hidden="1">Sheet1!$G$18</definedName>
    <definedName name="_xlchart.v1.3" hidden="1">Sheet1!$D$18</definedName>
    <definedName name="_xlchart.v1.30" hidden="1">Sheet1!$H$16:$H$17</definedName>
    <definedName name="_xlchart.v1.31" hidden="1">Sheet1!$H$18</definedName>
    <definedName name="_xlchart.v1.32" hidden="1">Sheet1!$I$16:$I$17</definedName>
    <definedName name="_xlchart.v1.33" hidden="1">Sheet1!$I$18</definedName>
    <definedName name="_xlchart.v1.34" hidden="1">Sheet1!$J$16:$J$17</definedName>
    <definedName name="_xlchart.v1.35" hidden="1">Sheet1!$J$18</definedName>
    <definedName name="_xlchart.v1.36" hidden="1">Sheet1!$K$16:$K$17</definedName>
    <definedName name="_xlchart.v1.37" hidden="1">Sheet1!$K$18</definedName>
    <definedName name="_xlchart.v1.38" hidden="1">Sheet1!$L$16:$L$17</definedName>
    <definedName name="_xlchart.v1.39" hidden="1">Sheet1!$L$18</definedName>
    <definedName name="_xlchart.v1.4" hidden="1">Sheet1!$E$16:$E$17</definedName>
    <definedName name="_xlchart.v1.40" hidden="1">Sheet1!$C$16:$C$17</definedName>
    <definedName name="_xlchart.v1.41" hidden="1">Sheet1!$C$18</definedName>
    <definedName name="_xlchart.v1.42" hidden="1">Sheet1!$D$16:$D$17</definedName>
    <definedName name="_xlchart.v1.43" hidden="1">Sheet1!$D$18</definedName>
    <definedName name="_xlchart.v1.44" hidden="1">Sheet1!$E$16:$E$17</definedName>
    <definedName name="_xlchart.v1.45" hidden="1">Sheet1!$E$18</definedName>
    <definedName name="_xlchart.v1.46" hidden="1">Sheet1!$F$16:$F$17</definedName>
    <definedName name="_xlchart.v1.47" hidden="1">Sheet1!$F$18</definedName>
    <definedName name="_xlchart.v1.48" hidden="1">Sheet1!$G$16:$G$17</definedName>
    <definedName name="_xlchart.v1.49" hidden="1">Sheet1!$G$18</definedName>
    <definedName name="_xlchart.v1.5" hidden="1">Sheet1!$E$18</definedName>
    <definedName name="_xlchart.v1.50" hidden="1">Sheet1!$H$16:$H$17</definedName>
    <definedName name="_xlchart.v1.51" hidden="1">Sheet1!$H$18</definedName>
    <definedName name="_xlchart.v1.52" hidden="1">Sheet1!$I$16:$I$17</definedName>
    <definedName name="_xlchart.v1.53" hidden="1">Sheet1!$I$18</definedName>
    <definedName name="_xlchart.v1.54" hidden="1">Sheet1!$J$16:$J$17</definedName>
    <definedName name="_xlchart.v1.55" hidden="1">Sheet1!$J$18</definedName>
    <definedName name="_xlchart.v1.56" hidden="1">Sheet1!$K$16:$K$17</definedName>
    <definedName name="_xlchart.v1.57" hidden="1">Sheet1!$K$18</definedName>
    <definedName name="_xlchart.v1.58" hidden="1">Sheet1!$L$16:$L$17</definedName>
    <definedName name="_xlchart.v1.59" hidden="1">Sheet1!$L$18</definedName>
    <definedName name="_xlchart.v1.6" hidden="1">Sheet1!$F$16:$F$17</definedName>
    <definedName name="_xlchart.v1.60" hidden="1">Sheet1!$C$16:$C$17</definedName>
    <definedName name="_xlchart.v1.61" hidden="1">Sheet1!$C$18</definedName>
    <definedName name="_xlchart.v1.62" hidden="1">Sheet1!$D$16:$D$17</definedName>
    <definedName name="_xlchart.v1.63" hidden="1">Sheet1!$D$18</definedName>
    <definedName name="_xlchart.v1.64" hidden="1">Sheet1!$E$16:$E$17</definedName>
    <definedName name="_xlchart.v1.65" hidden="1">Sheet1!$E$18</definedName>
    <definedName name="_xlchart.v1.66" hidden="1">Sheet1!$F$16:$F$17</definedName>
    <definedName name="_xlchart.v1.67" hidden="1">Sheet1!$F$18</definedName>
    <definedName name="_xlchart.v1.68" hidden="1">Sheet1!$G$16:$G$17</definedName>
    <definedName name="_xlchart.v1.69" hidden="1">Sheet1!$G$18</definedName>
    <definedName name="_xlchart.v1.7" hidden="1">Sheet1!$F$18</definedName>
    <definedName name="_xlchart.v1.70" hidden="1">Sheet1!$H$16:$H$17</definedName>
    <definedName name="_xlchart.v1.71" hidden="1">Sheet1!$H$18</definedName>
    <definedName name="_xlchart.v1.72" hidden="1">Sheet1!$I$16:$I$17</definedName>
    <definedName name="_xlchart.v1.73" hidden="1">Sheet1!$I$18</definedName>
    <definedName name="_xlchart.v1.74" hidden="1">Sheet1!$J$16:$J$17</definedName>
    <definedName name="_xlchart.v1.75" hidden="1">Sheet1!$J$18</definedName>
    <definedName name="_xlchart.v1.76" hidden="1">Sheet1!$K$16:$K$17</definedName>
    <definedName name="_xlchart.v1.77" hidden="1">Sheet1!$K$18</definedName>
    <definedName name="_xlchart.v1.78" hidden="1">Sheet1!$L$16:$L$17</definedName>
    <definedName name="_xlchart.v1.79" hidden="1">Sheet1!$L$18</definedName>
    <definedName name="_xlchart.v1.8" hidden="1">Sheet1!$G$16:$G$17</definedName>
    <definedName name="_xlchart.v1.80" hidden="1">Sheet1!$C$16:$C$17</definedName>
    <definedName name="_xlchart.v1.81" hidden="1">Sheet1!$C$18</definedName>
    <definedName name="_xlchart.v1.82" hidden="1">Sheet1!$D$16:$D$17</definedName>
    <definedName name="_xlchart.v1.83" hidden="1">Sheet1!$D$18</definedName>
    <definedName name="_xlchart.v1.84" hidden="1">Sheet1!$E$16:$E$17</definedName>
    <definedName name="_xlchart.v1.85" hidden="1">Sheet1!$E$18</definedName>
    <definedName name="_xlchart.v1.86" hidden="1">Sheet1!$F$16:$F$17</definedName>
    <definedName name="_xlchart.v1.87" hidden="1">Sheet1!$F$18</definedName>
    <definedName name="_xlchart.v1.88" hidden="1">Sheet1!$G$16:$G$17</definedName>
    <definedName name="_xlchart.v1.89" hidden="1">Sheet1!$G$18</definedName>
    <definedName name="_xlchart.v1.9" hidden="1">Sheet1!$G$18</definedName>
    <definedName name="_xlchart.v1.90" hidden="1">Sheet1!$H$16:$H$17</definedName>
    <definedName name="_xlchart.v1.91" hidden="1">Sheet1!$H$18</definedName>
    <definedName name="_xlchart.v1.92" hidden="1">Sheet1!$I$16:$I$17</definedName>
    <definedName name="_xlchart.v1.93" hidden="1">Sheet1!$I$18</definedName>
    <definedName name="_xlchart.v1.94" hidden="1">Sheet1!$J$16:$J$17</definedName>
    <definedName name="_xlchart.v1.95" hidden="1">Sheet1!$J$18</definedName>
    <definedName name="_xlchart.v1.96" hidden="1">Sheet1!$K$16:$K$17</definedName>
    <definedName name="_xlchart.v1.97" hidden="1">Sheet1!$K$18</definedName>
    <definedName name="_xlchart.v1.98" hidden="1">Sheet1!$L$16:$L$17</definedName>
    <definedName name="_xlchart.v1.99" hidden="1">Sheet1!$L$18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9" i="1"/>
  <c r="L20" i="1"/>
  <c r="L21" i="1"/>
  <c r="L22" i="1"/>
  <c r="L23" i="1"/>
  <c r="L24" i="1"/>
  <c r="L25" i="1"/>
  <c r="L26" i="1"/>
  <c r="L27" i="1"/>
  <c r="J18" i="1"/>
  <c r="J19" i="1"/>
  <c r="J20" i="1"/>
  <c r="J21" i="1"/>
  <c r="J22" i="1"/>
  <c r="J23" i="1"/>
  <c r="J24" i="1"/>
  <c r="J25" i="1"/>
  <c r="J26" i="1"/>
  <c r="J27" i="1"/>
  <c r="H18" i="1"/>
  <c r="H19" i="1"/>
  <c r="H20" i="1"/>
  <c r="H21" i="1"/>
  <c r="H22" i="1"/>
  <c r="H23" i="1"/>
  <c r="H24" i="1"/>
  <c r="H25" i="1"/>
  <c r="H26" i="1"/>
  <c r="H27" i="1"/>
  <c r="F18" i="1"/>
  <c r="F19" i="1"/>
  <c r="F20" i="1"/>
  <c r="F21" i="1"/>
  <c r="F22" i="1"/>
  <c r="F23" i="1"/>
  <c r="F24" i="1"/>
  <c r="F25" i="1"/>
  <c r="F26" i="1"/>
  <c r="F27" i="1"/>
  <c r="D18" i="1"/>
  <c r="D19" i="1"/>
  <c r="D20" i="1"/>
  <c r="D21" i="1"/>
  <c r="D22" i="1"/>
  <c r="D23" i="1"/>
  <c r="D24" i="1"/>
  <c r="D25" i="1"/>
  <c r="D26" i="1"/>
  <c r="D27" i="1"/>
  <c r="B18" i="1"/>
  <c r="K18" i="1"/>
  <c r="B19" i="1"/>
  <c r="C19" i="1"/>
  <c r="E19" i="1"/>
  <c r="G19" i="1"/>
  <c r="I19" i="1"/>
  <c r="K19" i="1"/>
  <c r="B20" i="1"/>
  <c r="K20" i="1"/>
  <c r="B21" i="1"/>
  <c r="C21" i="1"/>
  <c r="E21" i="1"/>
  <c r="G21" i="1"/>
  <c r="I21" i="1"/>
  <c r="K21" i="1"/>
  <c r="B22" i="1"/>
  <c r="B23" i="1"/>
  <c r="C23" i="1"/>
  <c r="E23" i="1"/>
  <c r="G23" i="1"/>
  <c r="I23" i="1"/>
  <c r="K23" i="1"/>
  <c r="B24" i="1"/>
  <c r="B25" i="1"/>
  <c r="I25" i="1"/>
  <c r="K25" i="1"/>
  <c r="B26" i="1"/>
  <c r="B27" i="1"/>
  <c r="K27" i="1"/>
  <c r="H3" i="1"/>
  <c r="C18" i="1" s="1"/>
  <c r="H4" i="1"/>
  <c r="H5" i="1"/>
  <c r="C20" i="1" s="1"/>
  <c r="H6" i="1"/>
  <c r="H7" i="1"/>
  <c r="C22" i="1" s="1"/>
  <c r="H8" i="1"/>
  <c r="H9" i="1"/>
  <c r="C24" i="1" s="1"/>
  <c r="H10" i="1"/>
  <c r="C25" i="1" s="1"/>
  <c r="H11" i="1"/>
  <c r="C26" i="1" s="1"/>
  <c r="H12" i="1"/>
  <c r="E27" i="1" s="1"/>
  <c r="G13" i="1"/>
  <c r="D13" i="1"/>
  <c r="E13" i="1"/>
  <c r="F13" i="1"/>
  <c r="C13" i="1"/>
  <c r="C27" i="1" l="1"/>
  <c r="K26" i="1"/>
  <c r="I26" i="1"/>
  <c r="I24" i="1"/>
  <c r="I22" i="1"/>
  <c r="I20" i="1"/>
  <c r="I18" i="1"/>
  <c r="G25" i="1"/>
  <c r="E25" i="1"/>
  <c r="K24" i="1"/>
  <c r="K22" i="1"/>
  <c r="G26" i="1"/>
  <c r="G24" i="1"/>
  <c r="G22" i="1"/>
  <c r="G20" i="1"/>
  <c r="G18" i="1"/>
  <c r="E26" i="1"/>
  <c r="E24" i="1"/>
  <c r="E22" i="1"/>
  <c r="E20" i="1"/>
  <c r="E18" i="1"/>
  <c r="I27" i="1"/>
  <c r="G27" i="1"/>
  <c r="H13" i="1"/>
</calcChain>
</file>

<file path=xl/sharedStrings.xml><?xml version="1.0" encoding="utf-8"?>
<sst xmlns="http://schemas.openxmlformats.org/spreadsheetml/2006/main" count="33" uniqueCount="25">
  <si>
    <t>Total</t>
  </si>
  <si>
    <t>Words</t>
  </si>
  <si>
    <t>2010</t>
  </si>
  <si>
    <t>2011</t>
  </si>
  <si>
    <t>2012</t>
  </si>
  <si>
    <t>2013</t>
  </si>
  <si>
    <t>2014</t>
  </si>
  <si>
    <t>ran</t>
  </si>
  <si>
    <t>ideas</t>
  </si>
  <si>
    <t>when</t>
  </si>
  <si>
    <t>started</t>
  </si>
  <si>
    <t>to write</t>
  </si>
  <si>
    <t>out of</t>
  </si>
  <si>
    <t>table</t>
  </si>
  <si>
    <t>columns</t>
  </si>
  <si>
    <t>rows</t>
  </si>
  <si>
    <t>frequency</t>
  </si>
  <si>
    <t>Norm 2010</t>
  </si>
  <si>
    <t xml:space="preserve">Total </t>
  </si>
  <si>
    <t>Norm 2011</t>
  </si>
  <si>
    <t>Norm 2012</t>
  </si>
  <si>
    <t>Overall</t>
  </si>
  <si>
    <t>By-year</t>
  </si>
  <si>
    <t>Norm 2014</t>
  </si>
  <si>
    <t>Norm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</si>
</sst>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Norm 2010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(Sheet1!$C$16,Sheet1!$E$16,Sheet1!$G$16,Sheet1!$I$16,Sheet1!$K$16)</c:f>
              <c:strCache>
                <c:ptCount val="5"/>
                <c:pt idx="0">
                  <c:v>Norm 2010</c:v>
                </c:pt>
                <c:pt idx="1">
                  <c:v>Norm 2011</c:v>
                </c:pt>
                <c:pt idx="2">
                  <c:v>Norm 2012</c:v>
                </c:pt>
                <c:pt idx="3">
                  <c:v>Norm 2013</c:v>
                </c:pt>
                <c:pt idx="4">
                  <c:v>Norm 2014</c:v>
                </c:pt>
              </c:strCache>
            </c:strRef>
          </c:cat>
          <c:val>
            <c:numRef>
              <c:f>Sheet1!$C$18</c:f>
              <c:numCache>
                <c:formatCode>General</c:formatCode>
                <c:ptCount val="1"/>
                <c:pt idx="0">
                  <c:v>3.815113719735877E-2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9-234C-8DF0-EA03E376E45D}"/>
            </c:ext>
          </c:extLst>
        </c:ser>
        <c:ser>
          <c:idx val="1"/>
          <c:order val="1"/>
          <c:tx>
            <c:strRef>
              <c:f>Sheet1!$E$16</c:f>
              <c:strCache>
                <c:ptCount val="1"/>
                <c:pt idx="0">
                  <c:v>Norm 2011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(Sheet1!$C$16,Sheet1!$E$16,Sheet1!$G$16,Sheet1!$I$16,Sheet1!$K$16)</c:f>
              <c:strCache>
                <c:ptCount val="5"/>
                <c:pt idx="0">
                  <c:v>Norm 2010</c:v>
                </c:pt>
                <c:pt idx="1">
                  <c:v>Norm 2011</c:v>
                </c:pt>
                <c:pt idx="2">
                  <c:v>Norm 2012</c:v>
                </c:pt>
                <c:pt idx="3">
                  <c:v>Norm 2013</c:v>
                </c:pt>
                <c:pt idx="4">
                  <c:v>Norm 2014</c:v>
                </c:pt>
              </c:strCache>
            </c:strRef>
          </c:cat>
          <c:val>
            <c:numRef>
              <c:f>Sheet1!$E$18</c:f>
              <c:numCache>
                <c:formatCode>General</c:formatCode>
                <c:ptCount val="1"/>
                <c:pt idx="0">
                  <c:v>9.7762289068231839E-2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9-234C-8DF0-EA03E376E45D}"/>
            </c:ext>
          </c:extLst>
        </c:ser>
        <c:ser>
          <c:idx val="2"/>
          <c:order val="2"/>
          <c:tx>
            <c:strRef>
              <c:f>Sheet1!$G$16</c:f>
              <c:strCache>
                <c:ptCount val="1"/>
                <c:pt idx="0">
                  <c:v>Norm 2012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(Sheet1!$C$16,Sheet1!$E$16,Sheet1!$G$16,Sheet1!$I$16,Sheet1!$K$16)</c:f>
              <c:strCache>
                <c:ptCount val="5"/>
                <c:pt idx="0">
                  <c:v>Norm 2010</c:v>
                </c:pt>
                <c:pt idx="1">
                  <c:v>Norm 2011</c:v>
                </c:pt>
                <c:pt idx="2">
                  <c:v>Norm 2012</c:v>
                </c:pt>
                <c:pt idx="3">
                  <c:v>Norm 2013</c:v>
                </c:pt>
                <c:pt idx="4">
                  <c:v>Norm 2014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0.24082905355832723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9-234C-8DF0-EA03E376E45D}"/>
            </c:ext>
          </c:extLst>
        </c:ser>
        <c:ser>
          <c:idx val="3"/>
          <c:order val="3"/>
          <c:tx>
            <c:strRef>
              <c:f>Sheet1!$I$16</c:f>
              <c:strCache>
                <c:ptCount val="1"/>
                <c:pt idx="0">
                  <c:v>Norm 2013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(Sheet1!$C$16,Sheet1!$E$16,Sheet1!$G$16,Sheet1!$I$16,Sheet1!$K$16)</c:f>
              <c:strCache>
                <c:ptCount val="5"/>
                <c:pt idx="0">
                  <c:v>Norm 2010</c:v>
                </c:pt>
                <c:pt idx="1">
                  <c:v>Norm 2011</c:v>
                </c:pt>
                <c:pt idx="2">
                  <c:v>Norm 2012</c:v>
                </c:pt>
                <c:pt idx="3">
                  <c:v>Norm 2013</c:v>
                </c:pt>
                <c:pt idx="4">
                  <c:v>Norm 2014</c:v>
                </c:pt>
              </c:strCache>
            </c:strRef>
          </c:cat>
          <c:val>
            <c:numRef>
              <c:f>Sheet1!$I$18</c:f>
              <c:numCache>
                <c:formatCode>General</c:formatCode>
                <c:ptCount val="1"/>
                <c:pt idx="0">
                  <c:v>0.30796038151137195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09-234C-8DF0-EA03E376E45D}"/>
            </c:ext>
          </c:extLst>
        </c:ser>
        <c:ser>
          <c:idx val="4"/>
          <c:order val="4"/>
          <c:tx>
            <c:strRef>
              <c:f>Sheet1!$K$16</c:f>
              <c:strCache>
                <c:ptCount val="1"/>
                <c:pt idx="0">
                  <c:v>Norm 2014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(Sheet1!$C$16,Sheet1!$E$16,Sheet1!$G$16,Sheet1!$I$16,Sheet1!$K$16)</c:f>
              <c:strCache>
                <c:ptCount val="5"/>
                <c:pt idx="0">
                  <c:v>Norm 2010</c:v>
                </c:pt>
                <c:pt idx="1">
                  <c:v>Norm 2011</c:v>
                </c:pt>
                <c:pt idx="2">
                  <c:v>Norm 2012</c:v>
                </c:pt>
                <c:pt idx="3">
                  <c:v>Norm 2013</c:v>
                </c:pt>
                <c:pt idx="4">
                  <c:v>Norm 2014</c:v>
                </c:pt>
              </c:strCache>
            </c:strRef>
          </c:cat>
          <c:val>
            <c:numRef>
              <c:f>Sheet1!$K$18</c:f>
              <c:numCache>
                <c:formatCode>General</c:formatCode>
                <c:ptCount val="1"/>
                <c:pt idx="0">
                  <c:v>0.31529713866471021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09-234C-8DF0-EA03E376E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6641376"/>
        <c:axId val="1900590159"/>
      </c:barChart>
      <c:catAx>
        <c:axId val="15664137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0590159"/>
        <c:crosses val="autoZero"/>
        <c:auto val="1"/>
        <c:lblAlgn val="ctr"/>
        <c:lblOffset val="100"/>
        <c:noMultiLvlLbl val="0"/>
      </c:catAx>
      <c:valAx>
        <c:axId val="1900590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 By-year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Norm 2010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Sheet1!$D$18</c:f>
              <c:numCache>
                <c:formatCode>General</c:formatCode>
                <c:ptCount val="1"/>
                <c:pt idx="0">
                  <c:v>1.6141548967872111E-2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93-ED4D-B8A6-9CCA8B4E7423}"/>
            </c:ext>
          </c:extLst>
        </c:ser>
        <c:ser>
          <c:idx val="1"/>
          <c:order val="1"/>
          <c:tx>
            <c:strRef>
              <c:f>Sheet1!$E$16</c:f>
              <c:strCache>
                <c:ptCount val="1"/>
                <c:pt idx="0">
                  <c:v>Norm 2011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Sheet1!$F$18</c:f>
              <c:numCache>
                <c:formatCode>General</c:formatCode>
                <c:ptCount val="1"/>
                <c:pt idx="0">
                  <c:v>5.741059887979319E-2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93-ED4D-B8A6-9CCA8B4E7423}"/>
            </c:ext>
          </c:extLst>
        </c:ser>
        <c:ser>
          <c:idx val="2"/>
          <c:order val="2"/>
          <c:tx>
            <c:strRef>
              <c:f>Sheet1!$G$16</c:f>
              <c:strCache>
                <c:ptCount val="1"/>
                <c:pt idx="0">
                  <c:v>Norm 2012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Sheet1!$H$18</c:f>
              <c:numCache>
                <c:formatCode>General</c:formatCode>
                <c:ptCount val="1"/>
                <c:pt idx="0">
                  <c:v>0.12074673533198454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93-ED4D-B8A6-9CCA8B4E7423}"/>
            </c:ext>
          </c:extLst>
        </c:ser>
        <c:ser>
          <c:idx val="3"/>
          <c:order val="3"/>
          <c:tx>
            <c:strRef>
              <c:f>Sheet1!$I$16</c:f>
              <c:strCache>
                <c:ptCount val="1"/>
                <c:pt idx="0">
                  <c:v>Norm 2013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Sheet1!$J$18</c:f>
              <c:numCache>
                <c:formatCode>General</c:formatCode>
                <c:ptCount val="1"/>
                <c:pt idx="0">
                  <c:v>0.15712146734044544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993-ED4D-B8A6-9CCA8B4E7423}"/>
            </c:ext>
          </c:extLst>
        </c:ser>
        <c:ser>
          <c:idx val="4"/>
          <c:order val="4"/>
          <c:tx>
            <c:strRef>
              <c:f>Sheet1!$K$16</c:f>
              <c:strCache>
                <c:ptCount val="1"/>
                <c:pt idx="0">
                  <c:v>Norm 2014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Sheet1!$L$18</c:f>
              <c:numCache>
                <c:formatCode>General</c:formatCode>
                <c:ptCount val="1"/>
                <c:pt idx="0">
                  <c:v>0.1535781291878853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993-ED4D-B8A6-9CCA8B4E7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6641376"/>
        <c:axId val="1900590159"/>
      </c:barChart>
      <c:catAx>
        <c:axId val="15664137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0590159"/>
        <c:crosses val="autoZero"/>
        <c:auto val="1"/>
        <c:lblAlgn val="ctr"/>
        <c:lblOffset val="100"/>
        <c:noMultiLvlLbl val="0"/>
      </c:catAx>
      <c:valAx>
        <c:axId val="1900590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Ran Overall vs By-year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Sheet1!$C$16:$C$17</c:f>
              <c:strCache>
                <c:ptCount val="2"/>
                <c:pt idx="0">
                  <c:v>Norm 2010</c:v>
                </c:pt>
                <c:pt idx="1">
                  <c:v>Overall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Sheet1!$C$18</c:f>
              <c:numCache>
                <c:formatCode>General</c:formatCode>
                <c:ptCount val="1"/>
                <c:pt idx="0">
                  <c:v>3.815113719735877E-2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9-FD48-BCDD-291524D92B10}"/>
            </c:ext>
          </c:extLst>
        </c:ser>
        <c:ser>
          <c:idx val="1"/>
          <c:order val="1"/>
          <c:tx>
            <c:strRef>
              <c:f>Sheet1!$D$16:$D$17</c:f>
              <c:strCache>
                <c:ptCount val="2"/>
                <c:pt idx="0">
                  <c:v>Norm 2010</c:v>
                </c:pt>
                <c:pt idx="1">
                  <c:v>By-year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Sheet1!$D$18</c:f>
              <c:numCache>
                <c:formatCode>General</c:formatCode>
                <c:ptCount val="1"/>
                <c:pt idx="0">
                  <c:v>1.6141548967872111E-2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9-FD48-BCDD-291524D92B10}"/>
            </c:ext>
          </c:extLst>
        </c:ser>
        <c:ser>
          <c:idx val="2"/>
          <c:order val="2"/>
          <c:tx>
            <c:strRef>
              <c:f>Sheet1!$E$16:$E$17</c:f>
              <c:strCache>
                <c:ptCount val="2"/>
                <c:pt idx="0">
                  <c:v>Norm 2011</c:v>
                </c:pt>
                <c:pt idx="1">
                  <c:v>Overall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Sheet1!$E$18</c:f>
              <c:numCache>
                <c:formatCode>General</c:formatCode>
                <c:ptCount val="1"/>
                <c:pt idx="0">
                  <c:v>9.7762289068231839E-2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9-FD48-BCDD-291524D92B10}"/>
            </c:ext>
          </c:extLst>
        </c:ser>
        <c:ser>
          <c:idx val="3"/>
          <c:order val="3"/>
          <c:tx>
            <c:strRef>
              <c:f>Sheet1!$F$16:$F$17</c:f>
              <c:strCache>
                <c:ptCount val="2"/>
                <c:pt idx="0">
                  <c:v>Norm 2011</c:v>
                </c:pt>
                <c:pt idx="1">
                  <c:v>By-year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Sheet1!$F$18</c:f>
              <c:numCache>
                <c:formatCode>General</c:formatCode>
                <c:ptCount val="1"/>
                <c:pt idx="0">
                  <c:v>5.741059887979319E-2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9-FD48-BCDD-291524D92B10}"/>
            </c:ext>
          </c:extLst>
        </c:ser>
        <c:ser>
          <c:idx val="4"/>
          <c:order val="4"/>
          <c:tx>
            <c:strRef>
              <c:f>Sheet1!$G$16:$G$17</c:f>
              <c:strCache>
                <c:ptCount val="2"/>
                <c:pt idx="0">
                  <c:v>Norm 2012</c:v>
                </c:pt>
                <c:pt idx="1">
                  <c:v>Overall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Sheet1!$G$18</c:f>
              <c:numCache>
                <c:formatCode>General</c:formatCode>
                <c:ptCount val="1"/>
                <c:pt idx="0">
                  <c:v>0.24082905355832723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09-FD48-BCDD-291524D92B10}"/>
            </c:ext>
          </c:extLst>
        </c:ser>
        <c:ser>
          <c:idx val="5"/>
          <c:order val="5"/>
          <c:tx>
            <c:strRef>
              <c:f>Sheet1!$H$16:$H$17</c:f>
              <c:strCache>
                <c:ptCount val="2"/>
                <c:pt idx="0">
                  <c:v>Norm 2012</c:v>
                </c:pt>
                <c:pt idx="1">
                  <c:v>By-year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Sheet1!$H$18</c:f>
              <c:numCache>
                <c:formatCode>General</c:formatCode>
                <c:ptCount val="1"/>
                <c:pt idx="0">
                  <c:v>0.12074673533198454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09-FD48-BCDD-291524D92B10}"/>
            </c:ext>
          </c:extLst>
        </c:ser>
        <c:ser>
          <c:idx val="6"/>
          <c:order val="6"/>
          <c:tx>
            <c:strRef>
              <c:f>Sheet1!$I$16:$I$17</c:f>
              <c:strCache>
                <c:ptCount val="2"/>
                <c:pt idx="0">
                  <c:v>Norm 2013</c:v>
                </c:pt>
                <c:pt idx="1">
                  <c:v>Overall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Sheet1!$I$18</c:f>
              <c:numCache>
                <c:formatCode>General</c:formatCode>
                <c:ptCount val="1"/>
                <c:pt idx="0">
                  <c:v>0.30796038151137195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09-FD48-BCDD-291524D92B10}"/>
            </c:ext>
          </c:extLst>
        </c:ser>
        <c:ser>
          <c:idx val="7"/>
          <c:order val="7"/>
          <c:tx>
            <c:strRef>
              <c:f>Sheet1!$J$16:$J$17</c:f>
              <c:strCache>
                <c:ptCount val="2"/>
                <c:pt idx="0">
                  <c:v>Norm 2013</c:v>
                </c:pt>
                <c:pt idx="1">
                  <c:v>By-year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Sheet1!$J$18</c:f>
              <c:numCache>
                <c:formatCode>General</c:formatCode>
                <c:ptCount val="1"/>
                <c:pt idx="0">
                  <c:v>0.15712146734044544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09-FD48-BCDD-291524D92B10}"/>
            </c:ext>
          </c:extLst>
        </c:ser>
        <c:ser>
          <c:idx val="8"/>
          <c:order val="8"/>
          <c:tx>
            <c:strRef>
              <c:f>Sheet1!$K$16:$K$17</c:f>
              <c:strCache>
                <c:ptCount val="2"/>
                <c:pt idx="0">
                  <c:v>Norm 2014</c:v>
                </c:pt>
                <c:pt idx="1">
                  <c:v>Overall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Sheet1!$K$18</c:f>
              <c:numCache>
                <c:formatCode>General</c:formatCode>
                <c:ptCount val="1"/>
                <c:pt idx="0">
                  <c:v>0.31529713866471021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09-FD48-BCDD-291524D92B10}"/>
            </c:ext>
          </c:extLst>
        </c:ser>
        <c:ser>
          <c:idx val="9"/>
          <c:order val="9"/>
          <c:tx>
            <c:strRef>
              <c:f>Sheet1!$L$16:$L$17</c:f>
              <c:strCache>
                <c:ptCount val="2"/>
                <c:pt idx="0">
                  <c:v>Norm 2014</c:v>
                </c:pt>
                <c:pt idx="1">
                  <c:v>By-year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Sheet1!$L$18</c:f>
              <c:numCache>
                <c:formatCode>General</c:formatCode>
                <c:ptCount val="1"/>
                <c:pt idx="0">
                  <c:v>0.1535781291878853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09-FD48-BCDD-291524D9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664591"/>
        <c:axId val="2085981583"/>
      </c:barChart>
      <c:catAx>
        <c:axId val="2086664591"/>
        <c:scaling>
          <c:orientation val="minMax"/>
        </c:scaling>
        <c:delete val="1"/>
        <c:axPos val="b"/>
        <c:majorTickMark val="none"/>
        <c:minorTickMark val="none"/>
        <c:tickLblPos val="nextTo"/>
        <c:crossAx val="2085981583"/>
        <c:crosses val="autoZero"/>
        <c:auto val="1"/>
        <c:lblAlgn val="ctr"/>
        <c:lblOffset val="100"/>
        <c:noMultiLvlLbl val="0"/>
      </c:catAx>
      <c:valAx>
        <c:axId val="2085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8244</xdr:colOff>
      <xdr:row>28</xdr:row>
      <xdr:rowOff>5193</xdr:rowOff>
    </xdr:from>
    <xdr:to>
      <xdr:col>6</xdr:col>
      <xdr:colOff>140800</xdr:colOff>
      <xdr:row>43</xdr:row>
      <xdr:rowOff>86186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FECC5F6-A7E6-68DD-D74E-AB35D7495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142543</xdr:colOff>
      <xdr:row>28</xdr:row>
      <xdr:rowOff>5189</xdr:rowOff>
    </xdr:from>
    <xdr:to>
      <xdr:col>11</xdr:col>
      <xdr:colOff>276779</xdr:colOff>
      <xdr:row>43</xdr:row>
      <xdr:rowOff>86182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535D918-23B8-1342-8F1C-2DB2C68A8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818972</xdr:colOff>
      <xdr:row>43</xdr:row>
      <xdr:rowOff>117980</xdr:rowOff>
    </xdr:from>
    <xdr:to>
      <xdr:col>11</xdr:col>
      <xdr:colOff>270213</xdr:colOff>
      <xdr:row>59</xdr:row>
      <xdr:rowOff>59347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EFAF62-3AF5-7845-3BE6-52416C03E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E56CD-1220-7D41-8F5F-6EC00A31ED87}" name="Table1" displayName="Table1" ref="B2:H13" totalsRowCount="1">
  <autoFilter ref="B2:H12" xr:uid="{F73E56CD-1220-7D41-8F5F-6EC00A31ED87}"/>
  <tableColumns count="7">
    <tableColumn id="1" xr3:uid="{A495C1FE-F891-744A-948E-BB6185B0A94D}" name="Words" totalsRowLabel="Total"/>
    <tableColumn id="2" xr3:uid="{CC368438-F8D4-784F-B832-BFE3611B4E6A}" name="2010" totalsRowFunction="custom" dataDxfId="16">
      <totalsRowFormula>SUM(C3:C12)</totalsRowFormula>
    </tableColumn>
    <tableColumn id="3" xr3:uid="{A3D522BC-F754-214A-9B55-051E8E60DE7E}" name="2011" totalsRowFunction="custom" dataDxfId="15">
      <totalsRowFormula>SUM(D3:D12)</totalsRowFormula>
    </tableColumn>
    <tableColumn id="4" xr3:uid="{0E736C3F-9F77-754B-902E-165271B1DE24}" name="2012" totalsRowFunction="custom" dataDxfId="14">
      <totalsRowFormula>SUM(E3:E12)</totalsRowFormula>
    </tableColumn>
    <tableColumn id="5" xr3:uid="{035E489D-2545-8A4A-8539-95C032D290FD}" name="2013" totalsRowFunction="custom" dataDxfId="13">
      <totalsRowFormula>SUM(F3:F12)</totalsRowFormula>
    </tableColumn>
    <tableColumn id="7" xr3:uid="{58FD603F-9818-E94C-BE18-15447459F5F4}" name="2014" totalsRowFunction="custom" dataDxfId="12">
      <totalsRowFormula>SUM(G3:G12)</totalsRowFormula>
    </tableColumn>
    <tableColumn id="8" xr3:uid="{2BD8769F-4B14-A54D-9AF9-4AE2D76739CC}" name="Total " totalsRowFunction="custom" dataDxfId="11">
      <calculatedColumnFormula>SUM(Table1[[#This Row],[2010]]:Table1[[#This Row],[2014]])</calculatedColumnFormula>
      <totalsRowFormula>SUM(Table1[[#Totals],[2010]]:Table1[[#Totals],[2014]])</totalsRowFormula>
    </tableColumn>
  </tableColumns>
  <tableStyleInfo name="TableStyleMedium8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327D2-67FF-5642-A1A7-551A905CA1E6}" name="Table2" displayName="Table2" ref="B18:L27" headerRowCount="0">
  <tableColumns count="11">
    <tableColumn id="1" xr3:uid="{AAA9E43B-C3D3-1244-AEC7-DE0213781EED}" name="Words/Norm" totalsRowLabel="Total" dataDxfId="10">
      <calculatedColumnFormula>B3</calculatedColumnFormula>
    </tableColumn>
    <tableColumn id="2" xr3:uid="{2554BA20-ED10-5148-9F02-27D7A04539F1}" name="Norm 2010" totalsRowFunction="custom" dataDxfId="9">
      <calculatedColumnFormula>C3/H3</calculatedColumnFormula>
      <totalsRowFormula>C13/H13</totalsRowFormula>
    </tableColumn>
    <tableColumn id="13" xr3:uid="{9ACE4BEA-3AD0-3644-AA93-21B46D2F788E}" name="Column1" dataDxfId="8">
      <calculatedColumnFormula>C3/Table1[[#Totals],[2010]]</calculatedColumnFormula>
    </tableColumn>
    <tableColumn id="3" xr3:uid="{02C2FC9E-5328-8643-B42E-16BCBB5A3454}" name="Norm 2011 (overall)" totalsRowFunction="custom" dataDxfId="7">
      <calculatedColumnFormula>D3/H3</calculatedColumnFormula>
      <totalsRowFormula>D13/H13</totalsRowFormula>
    </tableColumn>
    <tableColumn id="14" xr3:uid="{82C2A655-CCDA-B34B-9C5E-5588BF807710}" name="Column2" dataDxfId="6">
      <calculatedColumnFormula>D3/Table1[[#Totals],[2011]]</calculatedColumnFormula>
    </tableColumn>
    <tableColumn id="4" xr3:uid="{BCBC1A31-C96A-844E-932F-DC204BC598F0}" name="Norm 2012 (overall)" totalsRowFunction="custom" dataDxfId="5">
      <calculatedColumnFormula>E3/H3</calculatedColumnFormula>
      <totalsRowFormula>E13/H13</totalsRowFormula>
    </tableColumn>
    <tableColumn id="15" xr3:uid="{60456739-91C8-3949-9629-D7B50FADA6F1}" name="Column3" dataDxfId="4">
      <calculatedColumnFormula>E3/Table1[[#Totals],[2012]]</calculatedColumnFormula>
    </tableColumn>
    <tableColumn id="5" xr3:uid="{F76519DD-DB7F-F340-9F30-275BDE47327C}" name="Norm 2013 (overall)" totalsRowFunction="custom" dataDxfId="3">
      <calculatedColumnFormula>F3/H3</calculatedColumnFormula>
      <totalsRowFormula>F13/H13</totalsRowFormula>
    </tableColumn>
    <tableColumn id="16" xr3:uid="{E8DF48BB-005E-2E4E-8B87-EE08BE64AB3F}" name="Column4" dataDxfId="2">
      <calculatedColumnFormula>F3/Table1[[#Totals],[2013]]</calculatedColumnFormula>
    </tableColumn>
    <tableColumn id="6" xr3:uid="{D9EBB21C-7559-D048-855C-B1CE93421FA7}" name="Norm 2014 (overall)" totalsRowFunction="custom" dataDxfId="1">
      <calculatedColumnFormula>G3/H3</calculatedColumnFormula>
      <totalsRowFormula>G13/H13</totalsRowFormula>
    </tableColumn>
    <tableColumn id="17" xr3:uid="{D29A2786-F5B5-9046-9D20-D2A2898D6512}" name="Column5" dataDxfId="0">
      <calculatedColumnFormula>G3/Table1[[#Totals],[2014]]</calculatedColumnFormula>
    </tableColumn>
  </tableColumns>
  <tableStyleInfo name="TableStyleMedium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0EE2-70DC-A04F-AA09-61B51764C8BF}">
  <dimension ref="B2:L27"/>
  <sheetViews>
    <sheetView tabSelected="1" topLeftCell="A30" zoomScaleNormal="165" workbookViewId="0">
      <selection activeCell="J64" sqref="J64"/>
    </sheetView>
  </sheetViews>
  <sheetFormatPr baseColWidth="10" defaultRowHeight="16" x14ac:dyDescent="0.2"/>
  <cols>
    <col min="2" max="12" width="11.6640625" customWidth="1"/>
  </cols>
  <sheetData>
    <row r="2" spans="2:12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18</v>
      </c>
    </row>
    <row r="3" spans="2:12" x14ac:dyDescent="0.2">
      <c r="B3" t="s">
        <v>7</v>
      </c>
      <c r="C3" s="1">
        <v>208</v>
      </c>
      <c r="D3" s="1">
        <v>533</v>
      </c>
      <c r="E3" s="1">
        <v>1313</v>
      </c>
      <c r="F3" s="1">
        <v>1679</v>
      </c>
      <c r="G3" s="1">
        <v>1719</v>
      </c>
      <c r="H3" s="1">
        <f>SUM(Table1[[#This Row],[2010]]:Table1[[#This Row],[2014]])</f>
        <v>5452</v>
      </c>
    </row>
    <row r="4" spans="2:12" x14ac:dyDescent="0.2">
      <c r="B4" t="s">
        <v>12</v>
      </c>
      <c r="C4" s="1">
        <v>1786</v>
      </c>
      <c r="D4" s="1">
        <v>863</v>
      </c>
      <c r="E4" s="1">
        <v>399</v>
      </c>
      <c r="F4" s="1">
        <v>282</v>
      </c>
      <c r="G4" s="1">
        <v>265</v>
      </c>
      <c r="H4" s="1">
        <f>SUM(Table1[[#This Row],[2010]]:Table1[[#This Row],[2014]])</f>
        <v>3595</v>
      </c>
    </row>
    <row r="5" spans="2:12" x14ac:dyDescent="0.2">
      <c r="B5" t="s">
        <v>8</v>
      </c>
      <c r="C5" s="1">
        <v>1362</v>
      </c>
      <c r="D5" s="1">
        <v>557</v>
      </c>
      <c r="E5" s="1">
        <v>714</v>
      </c>
      <c r="F5" s="1">
        <v>1209</v>
      </c>
      <c r="G5" s="1">
        <v>1417</v>
      </c>
      <c r="H5" s="1">
        <f>SUM(Table1[[#This Row],[2010]]:Table1[[#This Row],[2014]])</f>
        <v>5259</v>
      </c>
    </row>
    <row r="6" spans="2:12" x14ac:dyDescent="0.2">
      <c r="B6" t="s">
        <v>9</v>
      </c>
      <c r="C6" s="1">
        <v>1391</v>
      </c>
      <c r="D6" s="1">
        <v>1179</v>
      </c>
      <c r="E6" s="1">
        <v>1284</v>
      </c>
      <c r="F6" s="1">
        <v>1476</v>
      </c>
      <c r="G6" s="1">
        <v>447</v>
      </c>
      <c r="H6" s="1">
        <f>SUM(Table1[[#This Row],[2010]]:Table1[[#This Row],[2014]])</f>
        <v>5777</v>
      </c>
    </row>
    <row r="7" spans="2:12" x14ac:dyDescent="0.2">
      <c r="B7" t="s">
        <v>10</v>
      </c>
      <c r="C7" s="1">
        <v>1811</v>
      </c>
      <c r="D7" s="1">
        <v>451</v>
      </c>
      <c r="E7" s="1">
        <v>1443</v>
      </c>
      <c r="F7" s="1">
        <v>687</v>
      </c>
      <c r="G7" s="1">
        <v>1718</v>
      </c>
      <c r="H7" s="1">
        <f>SUM(Table1[[#This Row],[2010]]:Table1[[#This Row],[2014]])</f>
        <v>6110</v>
      </c>
    </row>
    <row r="8" spans="2:12" x14ac:dyDescent="0.2">
      <c r="B8" t="s">
        <v>11</v>
      </c>
      <c r="C8" s="1">
        <v>53</v>
      </c>
      <c r="D8" s="1">
        <v>945</v>
      </c>
      <c r="E8" s="1">
        <v>1993</v>
      </c>
      <c r="F8" s="1">
        <v>1444</v>
      </c>
      <c r="G8" s="1">
        <v>1612</v>
      </c>
      <c r="H8" s="1">
        <f>SUM(Table1[[#This Row],[2010]]:Table1[[#This Row],[2014]])</f>
        <v>6047</v>
      </c>
    </row>
    <row r="9" spans="2:12" x14ac:dyDescent="0.2">
      <c r="B9" t="s">
        <v>13</v>
      </c>
      <c r="C9" s="1">
        <v>1871</v>
      </c>
      <c r="D9" s="1">
        <v>238</v>
      </c>
      <c r="E9" s="1">
        <v>1449</v>
      </c>
      <c r="F9" s="1">
        <v>480</v>
      </c>
      <c r="G9" s="1">
        <v>394</v>
      </c>
      <c r="H9" s="1">
        <f>SUM(Table1[[#This Row],[2010]]:Table1[[#This Row],[2014]])</f>
        <v>4432</v>
      </c>
    </row>
    <row r="10" spans="2:12" x14ac:dyDescent="0.2">
      <c r="B10" t="s">
        <v>14</v>
      </c>
      <c r="C10" s="1">
        <v>789</v>
      </c>
      <c r="D10" s="1">
        <v>937</v>
      </c>
      <c r="E10" s="1">
        <v>957</v>
      </c>
      <c r="F10" s="1">
        <v>586</v>
      </c>
      <c r="G10" s="1">
        <v>1831</v>
      </c>
      <c r="H10" s="1">
        <f>SUM(Table1[[#This Row],[2010]]:Table1[[#This Row],[2014]])</f>
        <v>5100</v>
      </c>
    </row>
    <row r="11" spans="2:12" x14ac:dyDescent="0.2">
      <c r="B11" t="s">
        <v>15</v>
      </c>
      <c r="C11" s="1">
        <v>1914</v>
      </c>
      <c r="D11" s="1">
        <v>1775</v>
      </c>
      <c r="E11" s="1">
        <v>96</v>
      </c>
      <c r="F11" s="1">
        <v>1228</v>
      </c>
      <c r="G11" s="1">
        <v>1435</v>
      </c>
      <c r="H11" s="1">
        <f>SUM(Table1[[#This Row],[2010]]:Table1[[#This Row],[2014]])</f>
        <v>6448</v>
      </c>
    </row>
    <row r="12" spans="2:12" x14ac:dyDescent="0.2">
      <c r="B12" t="s">
        <v>16</v>
      </c>
      <c r="C12" s="1">
        <v>1701</v>
      </c>
      <c r="D12" s="1">
        <v>1806</v>
      </c>
      <c r="E12" s="1">
        <v>1226</v>
      </c>
      <c r="F12" s="1">
        <v>1615</v>
      </c>
      <c r="G12" s="1">
        <v>355</v>
      </c>
      <c r="H12" s="1">
        <f>SUM(Table1[[#This Row],[2010]]:Table1[[#This Row],[2014]])</f>
        <v>6703</v>
      </c>
    </row>
    <row r="13" spans="2:12" x14ac:dyDescent="0.2">
      <c r="B13" t="s">
        <v>0</v>
      </c>
      <c r="C13">
        <f>SUM(C3:C12)</f>
        <v>12886</v>
      </c>
      <c r="D13">
        <f t="shared" ref="D13:F13" si="0">SUM(D3:D12)</f>
        <v>9284</v>
      </c>
      <c r="E13">
        <f t="shared" si="0"/>
        <v>10874</v>
      </c>
      <c r="F13">
        <f t="shared" si="0"/>
        <v>10686</v>
      </c>
      <c r="G13">
        <f>SUM(G3:G12)</f>
        <v>11193</v>
      </c>
      <c r="H13">
        <f>SUM(Table1[[#Totals],[2010]]:Table1[[#Totals],[2014]])</f>
        <v>54923</v>
      </c>
    </row>
    <row r="16" spans="2:12" x14ac:dyDescent="0.2">
      <c r="C16" s="3" t="s">
        <v>17</v>
      </c>
      <c r="D16" s="3"/>
      <c r="E16" s="3" t="s">
        <v>19</v>
      </c>
      <c r="F16" s="3"/>
      <c r="G16" s="3" t="s">
        <v>20</v>
      </c>
      <c r="H16" s="3"/>
      <c r="I16" s="3" t="s">
        <v>24</v>
      </c>
      <c r="J16" s="3"/>
      <c r="K16" s="3" t="s">
        <v>23</v>
      </c>
      <c r="L16" s="3"/>
    </row>
    <row r="17" spans="2:12" x14ac:dyDescent="0.2">
      <c r="C17" s="2" t="s">
        <v>21</v>
      </c>
      <c r="D17" s="2" t="s">
        <v>22</v>
      </c>
      <c r="E17" s="2" t="s">
        <v>21</v>
      </c>
      <c r="F17" s="2" t="s">
        <v>22</v>
      </c>
      <c r="G17" s="2" t="s">
        <v>21</v>
      </c>
      <c r="H17" s="2" t="s">
        <v>22</v>
      </c>
      <c r="I17" s="2" t="s">
        <v>21</v>
      </c>
      <c r="J17" s="2" t="s">
        <v>22</v>
      </c>
      <c r="K17" s="2" t="s">
        <v>21</v>
      </c>
      <c r="L17" s="2" t="s">
        <v>22</v>
      </c>
    </row>
    <row r="18" spans="2:12" x14ac:dyDescent="0.2">
      <c r="B18" t="str">
        <f>B3</f>
        <v>ran</v>
      </c>
      <c r="C18">
        <f>C3/H3</f>
        <v>3.815113719735877E-2</v>
      </c>
      <c r="D18">
        <f>C3/Table1[[#Totals],[2010]]</f>
        <v>1.6141548967872111E-2</v>
      </c>
      <c r="E18">
        <f>D3/H3</f>
        <v>9.7762289068231839E-2</v>
      </c>
      <c r="F18">
        <f>D3/Table1[[#Totals],[2011]]</f>
        <v>5.741059887979319E-2</v>
      </c>
      <c r="G18">
        <f>E3/H3</f>
        <v>0.24082905355832723</v>
      </c>
      <c r="H18">
        <f>E3/Table1[[#Totals],[2012]]</f>
        <v>0.12074673533198454</v>
      </c>
      <c r="I18">
        <f>F3/H3</f>
        <v>0.30796038151137195</v>
      </c>
      <c r="J18">
        <f>F3/Table1[[#Totals],[2013]]</f>
        <v>0.15712146734044544</v>
      </c>
      <c r="K18">
        <f>G3/H3</f>
        <v>0.31529713866471021</v>
      </c>
      <c r="L18">
        <f>G3/Table1[[#Totals],[2014]]</f>
        <v>0.1535781291878853</v>
      </c>
    </row>
    <row r="19" spans="2:12" x14ac:dyDescent="0.2">
      <c r="B19" t="str">
        <f>B4</f>
        <v>out of</v>
      </c>
      <c r="C19">
        <f>C4/H4</f>
        <v>0.49680111265646731</v>
      </c>
      <c r="D19">
        <f>C4/Table1[[#Totals],[2010]]</f>
        <v>0.13860003104144034</v>
      </c>
      <c r="E19">
        <f>D4/H4</f>
        <v>0.24005563282336578</v>
      </c>
      <c r="F19">
        <f>D4/Table1[[#Totals],[2011]]</f>
        <v>9.2955622576475661E-2</v>
      </c>
      <c r="G19">
        <f>E4/H4</f>
        <v>0.1109874826147427</v>
      </c>
      <c r="H19">
        <f>E4/Table1[[#Totals],[2012]]</f>
        <v>3.669302924406842E-2</v>
      </c>
      <c r="I19">
        <f>F4/H4</f>
        <v>7.8442280945758003E-2</v>
      </c>
      <c r="J19">
        <f>F4/Table1[[#Totals],[2013]]</f>
        <v>2.6389668725435148E-2</v>
      </c>
      <c r="K19">
        <f>G4/H4</f>
        <v>7.37134909596662E-2</v>
      </c>
      <c r="L19" s="1">
        <f>G4/Table1[[#Totals],[2014]]</f>
        <v>2.367551148038953E-2</v>
      </c>
    </row>
    <row r="20" spans="2:12" x14ac:dyDescent="0.2">
      <c r="B20" t="str">
        <f>B5</f>
        <v>ideas</v>
      </c>
      <c r="C20">
        <f>C5/H5</f>
        <v>0.2589845978322875</v>
      </c>
      <c r="D20">
        <f>C5/Table1[[#Totals],[2010]]</f>
        <v>0.10569610429923948</v>
      </c>
      <c r="E20">
        <f>D5/H5</f>
        <v>0.10591367180072257</v>
      </c>
      <c r="F20">
        <f>D5/Table1[[#Totals],[2011]]</f>
        <v>5.9995691512279188E-2</v>
      </c>
      <c r="G20">
        <f>E5/H5</f>
        <v>0.13576725613234455</v>
      </c>
      <c r="H20">
        <f>E5/Table1[[#Totals],[2012]]</f>
        <v>6.5661210226227701E-2</v>
      </c>
      <c r="I20">
        <f>F5/H5</f>
        <v>0.22989161437535655</v>
      </c>
      <c r="J20">
        <f>F5/Table1[[#Totals],[2013]]</f>
        <v>0.11313868613138686</v>
      </c>
      <c r="K20">
        <f>G5/H5</f>
        <v>0.26944285985928884</v>
      </c>
      <c r="L20" s="1">
        <f>G5/Table1[[#Totals],[2014]]</f>
        <v>0.12659698025551683</v>
      </c>
    </row>
    <row r="21" spans="2:12" x14ac:dyDescent="0.2">
      <c r="B21" t="str">
        <f>B6</f>
        <v>when</v>
      </c>
      <c r="C21">
        <f>C6/H6</f>
        <v>0.24078241301713693</v>
      </c>
      <c r="D21">
        <f>C6/Table1[[#Totals],[2010]]</f>
        <v>0.10794660872264474</v>
      </c>
      <c r="E21">
        <f>D6/H6</f>
        <v>0.20408516531071491</v>
      </c>
      <c r="F21">
        <f>D6/Table1[[#Totals],[2011]]</f>
        <v>0.12699267557087462</v>
      </c>
      <c r="G21">
        <f>E6/H6</f>
        <v>0.22226068893889561</v>
      </c>
      <c r="H21">
        <f>E6/Table1[[#Totals],[2012]]</f>
        <v>0.11807982343203972</v>
      </c>
      <c r="I21">
        <f>F6/H6</f>
        <v>0.25549593214471178</v>
      </c>
      <c r="J21">
        <f>F6/Table1[[#Totals],[2013]]</f>
        <v>0.13812464907355418</v>
      </c>
      <c r="K21">
        <f>G6/H6</f>
        <v>7.7375800588540766E-2</v>
      </c>
      <c r="L21" s="1">
        <f>G6/Table1[[#Totals],[2014]]</f>
        <v>3.9935674082015545E-2</v>
      </c>
    </row>
    <row r="22" spans="2:12" x14ac:dyDescent="0.2">
      <c r="B22" t="str">
        <f>B7</f>
        <v>started</v>
      </c>
      <c r="C22">
        <f>C7/H7</f>
        <v>0.29639934533551554</v>
      </c>
      <c r="D22">
        <f>C7/Table1[[#Totals],[2010]]</f>
        <v>0.14054012106161726</v>
      </c>
      <c r="E22">
        <f>D7/H7</f>
        <v>7.3813420621931261E-2</v>
      </c>
      <c r="F22">
        <f>D7/Table1[[#Totals],[2011]]</f>
        <v>4.8578199052132703E-2</v>
      </c>
      <c r="G22">
        <f>E7/H7</f>
        <v>0.23617021276595745</v>
      </c>
      <c r="H22">
        <f>E7/Table1[[#Totals],[2012]]</f>
        <v>0.13270185764208203</v>
      </c>
      <c r="I22">
        <f>F7/H7</f>
        <v>0.11243862520458266</v>
      </c>
      <c r="J22">
        <f>F7/Table1[[#Totals],[2013]]</f>
        <v>6.4289724873666479E-2</v>
      </c>
      <c r="K22">
        <f>G7/H7</f>
        <v>0.28117839607201311</v>
      </c>
      <c r="L22" s="1">
        <f>G7/Table1[[#Totals],[2014]]</f>
        <v>0.1534887876351291</v>
      </c>
    </row>
    <row r="23" spans="2:12" x14ac:dyDescent="0.2">
      <c r="B23" t="str">
        <f>B8</f>
        <v>to write</v>
      </c>
      <c r="C23">
        <f>C8/H8</f>
        <v>8.7646766991896809E-3</v>
      </c>
      <c r="D23">
        <f>C8/Table1[[#Totals],[2010]]</f>
        <v>4.1129908427751044E-3</v>
      </c>
      <c r="E23">
        <f>D8/H8</f>
        <v>0.15627583925913677</v>
      </c>
      <c r="F23">
        <f>D8/Table1[[#Totals],[2011]]</f>
        <v>0.10178802240413615</v>
      </c>
      <c r="G23">
        <f>E8/H8</f>
        <v>0.32958491814122703</v>
      </c>
      <c r="H23">
        <f>E8/Table1[[#Totals],[2012]]</f>
        <v>0.18328122126172522</v>
      </c>
      <c r="I23">
        <f>F8/H8</f>
        <v>0.23879609723829998</v>
      </c>
      <c r="J23">
        <f>F8/Table1[[#Totals],[2013]]</f>
        <v>0.13513007673591615</v>
      </c>
      <c r="K23">
        <f>G8/H8</f>
        <v>0.26657846866214652</v>
      </c>
      <c r="L23" s="1">
        <f>G8/Table1[[#Totals],[2014]]</f>
        <v>0.1440185830429733</v>
      </c>
    </row>
    <row r="24" spans="2:12" x14ac:dyDescent="0.2">
      <c r="B24" t="str">
        <f>B9</f>
        <v>table</v>
      </c>
      <c r="C24">
        <f>C9/H9</f>
        <v>0.42215703971119134</v>
      </c>
      <c r="D24">
        <f>C9/Table1[[#Totals],[2010]]</f>
        <v>0.1451963371100419</v>
      </c>
      <c r="E24">
        <f>D9/H9</f>
        <v>5.3700361010830325E-2</v>
      </c>
      <c r="F24">
        <f>D9/Table1[[#Totals],[2011]]</f>
        <v>2.5635501938819475E-2</v>
      </c>
      <c r="G24">
        <f>E9/H9</f>
        <v>0.32694043321299637</v>
      </c>
      <c r="H24">
        <f>E9/Table1[[#Totals],[2012]]</f>
        <v>0.13325363251793268</v>
      </c>
      <c r="I24">
        <f>F9/H9</f>
        <v>0.10830324909747292</v>
      </c>
      <c r="J24">
        <f>F9/Table1[[#Totals],[2013]]</f>
        <v>4.4918585064570464E-2</v>
      </c>
      <c r="K24">
        <f>G9/H9</f>
        <v>8.8898916967509026E-2</v>
      </c>
      <c r="L24" s="1">
        <f>G9/Table1[[#Totals],[2014]]</f>
        <v>3.5200571785937641E-2</v>
      </c>
    </row>
    <row r="25" spans="2:12" x14ac:dyDescent="0.2">
      <c r="B25" t="str">
        <f>B10</f>
        <v>columns</v>
      </c>
      <c r="C25">
        <f>C10/H10</f>
        <v>0.15470588235294117</v>
      </c>
      <c r="D25">
        <f>C10/Table1[[#Totals],[2010]]</f>
        <v>6.1229241036784107E-2</v>
      </c>
      <c r="E25">
        <f>D10/H10</f>
        <v>0.18372549019607842</v>
      </c>
      <c r="F25">
        <f>D10/Table1[[#Totals],[2011]]</f>
        <v>0.10092632485997415</v>
      </c>
      <c r="G25">
        <f>E10/H10</f>
        <v>0.18764705882352942</v>
      </c>
      <c r="H25">
        <f>E10/Table1[[#Totals],[2012]]</f>
        <v>8.8008092698179149E-2</v>
      </c>
      <c r="I25">
        <f>F10/H10</f>
        <v>0.11490196078431372</v>
      </c>
      <c r="J25">
        <f>F10/Table1[[#Totals],[2013]]</f>
        <v>5.4838105932996442E-2</v>
      </c>
      <c r="K25">
        <f>G10/H10</f>
        <v>0.35901960784313725</v>
      </c>
      <c r="L25" s="1">
        <f>G10/Table1[[#Totals],[2014]]</f>
        <v>0.16358438309657822</v>
      </c>
    </row>
    <row r="26" spans="2:12" x14ac:dyDescent="0.2">
      <c r="B26" t="str">
        <f>B11</f>
        <v>rows</v>
      </c>
      <c r="C26">
        <f>C11/H11</f>
        <v>0.29683622828784118</v>
      </c>
      <c r="D26">
        <f>C11/Table1[[#Totals],[2010]]</f>
        <v>0.14853329194474624</v>
      </c>
      <c r="E26">
        <f>D11/H11</f>
        <v>0.27527915632754341</v>
      </c>
      <c r="F26">
        <f>D11/Table1[[#Totals],[2011]]</f>
        <v>0.19118914261094355</v>
      </c>
      <c r="G26">
        <f>E11/H11</f>
        <v>1.488833746898263E-2</v>
      </c>
      <c r="H26">
        <f>E11/Table1[[#Totals],[2012]]</f>
        <v>8.8283980136104473E-3</v>
      </c>
      <c r="I26">
        <f>F11/H11</f>
        <v>0.19044665012406947</v>
      </c>
      <c r="J26">
        <f>F11/Table1[[#Totals],[2013]]</f>
        <v>0.11491671345685944</v>
      </c>
      <c r="K26">
        <f>G11/H11</f>
        <v>0.22254962779156329</v>
      </c>
      <c r="L26" s="1">
        <f>G11/Table1[[#Totals],[2014]]</f>
        <v>0.12820512820512819</v>
      </c>
    </row>
    <row r="27" spans="2:12" x14ac:dyDescent="0.2">
      <c r="B27" t="str">
        <f>B12</f>
        <v>frequency</v>
      </c>
      <c r="C27">
        <f>C12/H12</f>
        <v>0.25376697001342685</v>
      </c>
      <c r="D27">
        <f>C12/Table1[[#Totals],[2010]]</f>
        <v>0.13200372497283874</v>
      </c>
      <c r="E27">
        <f>D12/H12</f>
        <v>0.26943159779203341</v>
      </c>
      <c r="F27">
        <f>D12/Table1[[#Totals],[2011]]</f>
        <v>0.19452822059457131</v>
      </c>
      <c r="G27">
        <f>E12/H12</f>
        <v>0.18290317768163508</v>
      </c>
      <c r="H27">
        <f>E12/Table1[[#Totals],[2012]]</f>
        <v>0.11274599963215008</v>
      </c>
      <c r="I27">
        <f>F12/H12</f>
        <v>0.24093689392809189</v>
      </c>
      <c r="J27">
        <f>F12/Table1[[#Totals],[2013]]</f>
        <v>0.15113232266516938</v>
      </c>
      <c r="K27">
        <f>G12/H12</f>
        <v>5.2961360584812774E-2</v>
      </c>
      <c r="L27" s="1">
        <f>G12/Table1[[#Totals],[2014]]</f>
        <v>3.1716251228446353E-2</v>
      </c>
    </row>
  </sheetData>
  <mergeCells count="5">
    <mergeCell ref="C16:D16"/>
    <mergeCell ref="E16:F16"/>
    <mergeCell ref="G16:H16"/>
    <mergeCell ref="I16:J16"/>
    <mergeCell ref="K16:L16"/>
  </mergeCells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Constantin Sipos</dc:creator>
  <cp:lastModifiedBy>Patrick Constantin Sipos</cp:lastModifiedBy>
  <dcterms:created xsi:type="dcterms:W3CDTF">2024-10-05T18:49:42Z</dcterms:created>
  <dcterms:modified xsi:type="dcterms:W3CDTF">2024-10-05T23:33:16Z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2024-10-05T23:32:30Z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abca6623-b2ba-4911-8178-9e59bc4881cc</vt:lpwstr>
  </property>
  <property fmtid="{D5CDD505-2E9C-101B-9397-08002B2CF9AE}" pid="8" name="MSIP_Label_5b58b62f-6f94-46bd-8089-18e64b0a9abb_ContentBits">
    <vt:lpwstr>0</vt:lpwstr>
  </property>
</Properties>
</file>