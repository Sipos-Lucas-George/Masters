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lucas/Development/Master/Spring/Generative AI/"/>
    </mc:Choice>
  </mc:AlternateContent>
  <xr:revisionPtr revIDLastSave="0" documentId="13_ncr:1_{C19F6BFE-4ADE-2242-BAC1-ECE69CE7E349}" xr6:coauthVersionLast="47" xr6:coauthVersionMax="47" xr10:uidLastSave="{00000000-0000-0000-0000-000000000000}"/>
  <bookViews>
    <workbookView xWindow="3260" yWindow="2160" windowWidth="28040" windowHeight="17440" xr2:uid="{EEE2716F-C988-1841-B184-A85E9E04EC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 i="1" l="1"/>
  <c r="U5" i="1"/>
  <c r="U6" i="1"/>
  <c r="U7" i="1"/>
  <c r="U2" i="1" s="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3" i="1"/>
  <c r="T4" i="1"/>
  <c r="T5" i="1"/>
  <c r="T6" i="1"/>
  <c r="T7" i="1"/>
  <c r="T8" i="1"/>
  <c r="T9" i="1"/>
  <c r="T10" i="1"/>
  <c r="T11" i="1"/>
  <c r="T12" i="1"/>
  <c r="T13" i="1"/>
  <c r="T14" i="1"/>
  <c r="T15" i="1"/>
  <c r="T2" i="1" s="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S3" i="1"/>
  <c r="T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R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S2" i="1" l="1"/>
  <c r="F2" i="1"/>
  <c r="J52" i="1" s="1"/>
  <c r="D2" i="1"/>
  <c r="H31" i="1" s="1"/>
  <c r="L31" i="1" s="1"/>
  <c r="E2" i="1"/>
  <c r="I38" i="1" s="1"/>
  <c r="J46" i="1" l="1"/>
  <c r="H33" i="1"/>
  <c r="L33" i="1" s="1"/>
  <c r="I45" i="1"/>
  <c r="I14" i="1"/>
  <c r="H32" i="1"/>
  <c r="L32" i="1" s="1"/>
  <c r="H28" i="1"/>
  <c r="L28" i="1" s="1"/>
  <c r="H43" i="1"/>
  <c r="L43" i="1" s="1"/>
  <c r="J32" i="1"/>
  <c r="Q32" i="1" s="1"/>
  <c r="J55" i="1"/>
  <c r="N55" i="1" s="1"/>
  <c r="I23" i="1"/>
  <c r="M23" i="1" s="1"/>
  <c r="H55" i="1"/>
  <c r="L55" i="1" s="1"/>
  <c r="J56" i="1"/>
  <c r="N56" i="1" s="1"/>
  <c r="H20" i="1"/>
  <c r="L20" i="1" s="1"/>
  <c r="H16" i="1"/>
  <c r="L16" i="1" s="1"/>
  <c r="J29" i="1"/>
  <c r="I19" i="1"/>
  <c r="J39" i="1"/>
  <c r="J67" i="1"/>
  <c r="N67" i="1" s="1"/>
  <c r="J41" i="1"/>
  <c r="I31" i="1"/>
  <c r="P31" i="1" s="1"/>
  <c r="N41" i="1"/>
  <c r="P45" i="1"/>
  <c r="H44" i="1"/>
  <c r="L44" i="1" s="1"/>
  <c r="H40" i="1"/>
  <c r="L40" i="1" s="1"/>
  <c r="I40" i="1"/>
  <c r="P40" i="1" s="1"/>
  <c r="J11" i="1"/>
  <c r="J44" i="1"/>
  <c r="J21" i="1"/>
  <c r="I3" i="1"/>
  <c r="P3" i="1" s="1"/>
  <c r="J47" i="1"/>
  <c r="I17" i="1"/>
  <c r="J64" i="1"/>
  <c r="I55" i="1"/>
  <c r="H62" i="1"/>
  <c r="L62" i="1" s="1"/>
  <c r="I15" i="1"/>
  <c r="M15" i="1" s="1"/>
  <c r="I34" i="1"/>
  <c r="I29" i="1"/>
  <c r="M29" i="1" s="1"/>
  <c r="I6" i="1"/>
  <c r="P6" i="1" s="1"/>
  <c r="I67" i="1"/>
  <c r="P67" i="1" s="1"/>
  <c r="H3" i="1"/>
  <c r="L3" i="1" s="1"/>
  <c r="I27" i="1"/>
  <c r="P27" i="1" s="1"/>
  <c r="H11" i="1"/>
  <c r="L11" i="1" s="1"/>
  <c r="I41" i="1"/>
  <c r="I18" i="1"/>
  <c r="I22" i="1"/>
  <c r="H22" i="1"/>
  <c r="L22" i="1" s="1"/>
  <c r="J23" i="1"/>
  <c r="H34" i="1"/>
  <c r="L34" i="1" s="1"/>
  <c r="J26" i="1"/>
  <c r="I65" i="1"/>
  <c r="M65" i="1" s="1"/>
  <c r="J59" i="1"/>
  <c r="I42" i="1"/>
  <c r="J13" i="1"/>
  <c r="J37" i="1"/>
  <c r="N46" i="1"/>
  <c r="H67" i="1"/>
  <c r="L67" i="1" s="1"/>
  <c r="I5" i="1"/>
  <c r="J16" i="1"/>
  <c r="I43" i="1"/>
  <c r="P43" i="1" s="1"/>
  <c r="H56" i="1"/>
  <c r="L56" i="1" s="1"/>
  <c r="H52" i="1"/>
  <c r="L52" i="1" s="1"/>
  <c r="I52" i="1"/>
  <c r="P52" i="1" s="1"/>
  <c r="J9" i="1"/>
  <c r="J35" i="1"/>
  <c r="H64" i="1"/>
  <c r="L64" i="1" s="1"/>
  <c r="I64" i="1"/>
  <c r="P64" i="1" s="1"/>
  <c r="J33" i="1"/>
  <c r="I10" i="1"/>
  <c r="H5" i="1"/>
  <c r="L5" i="1" s="1"/>
  <c r="J24" i="1"/>
  <c r="I57" i="1"/>
  <c r="I58" i="1"/>
  <c r="P58" i="1" s="1"/>
  <c r="H15" i="1"/>
  <c r="L15" i="1" s="1"/>
  <c r="H17" i="1"/>
  <c r="L17" i="1" s="1"/>
  <c r="H23" i="1"/>
  <c r="L23" i="1" s="1"/>
  <c r="J61" i="1"/>
  <c r="I53" i="1"/>
  <c r="I30" i="1"/>
  <c r="I47" i="1"/>
  <c r="I35" i="1"/>
  <c r="H27" i="1"/>
  <c r="L27" i="1" s="1"/>
  <c r="H6" i="1"/>
  <c r="L6" i="1" s="1"/>
  <c r="H35" i="1"/>
  <c r="L35" i="1" s="1"/>
  <c r="H18" i="1"/>
  <c r="L18" i="1" s="1"/>
  <c r="H47" i="1"/>
  <c r="L47" i="1" s="1"/>
  <c r="H12" i="1"/>
  <c r="L12" i="1" s="1"/>
  <c r="I46" i="1"/>
  <c r="P46" i="1" s="1"/>
  <c r="H49" i="1"/>
  <c r="L49" i="1" s="1"/>
  <c r="J49" i="1"/>
  <c r="I60" i="1"/>
  <c r="P60" i="1" s="1"/>
  <c r="N39" i="1"/>
  <c r="P19" i="1"/>
  <c r="H39" i="1"/>
  <c r="L39" i="1" s="1"/>
  <c r="H46" i="1"/>
  <c r="L46" i="1" s="1"/>
  <c r="J50" i="1"/>
  <c r="H51" i="1"/>
  <c r="L51" i="1" s="1"/>
  <c r="H30" i="1"/>
  <c r="L30" i="1" s="1"/>
  <c r="H58" i="1"/>
  <c r="L58" i="1" s="1"/>
  <c r="H59" i="1"/>
  <c r="L59" i="1" s="1"/>
  <c r="I13" i="1"/>
  <c r="J19" i="1"/>
  <c r="J12" i="1"/>
  <c r="H61" i="1"/>
  <c r="L61" i="1" s="1"/>
  <c r="J14" i="1"/>
  <c r="J38" i="1"/>
  <c r="N29" i="1"/>
  <c r="R29" i="1"/>
  <c r="N52" i="1"/>
  <c r="H19" i="1"/>
  <c r="L19" i="1" s="1"/>
  <c r="J5" i="1"/>
  <c r="J54" i="1"/>
  <c r="I61" i="1"/>
  <c r="J31" i="1"/>
  <c r="J36" i="1"/>
  <c r="J8" i="1"/>
  <c r="J40" i="1"/>
  <c r="I25" i="1"/>
  <c r="P25" i="1" s="1"/>
  <c r="H63" i="1"/>
  <c r="L63" i="1" s="1"/>
  <c r="H8" i="1"/>
  <c r="L8" i="1" s="1"/>
  <c r="H4" i="1"/>
  <c r="L4" i="1" s="1"/>
  <c r="J17" i="1"/>
  <c r="J66" i="1"/>
  <c r="J3" i="1"/>
  <c r="J43" i="1"/>
  <c r="J60" i="1"/>
  <c r="J20" i="1"/>
  <c r="I7" i="1"/>
  <c r="P7" i="1" s="1"/>
  <c r="J15" i="1"/>
  <c r="M38" i="1"/>
  <c r="M40" i="1"/>
  <c r="M5" i="1"/>
  <c r="M35" i="1"/>
  <c r="M45" i="1"/>
  <c r="M30" i="1"/>
  <c r="M19" i="1"/>
  <c r="M31" i="1"/>
  <c r="M18" i="1"/>
  <c r="M43" i="1"/>
  <c r="M42" i="1"/>
  <c r="M14" i="1"/>
  <c r="H24" i="1"/>
  <c r="L24" i="1" s="1"/>
  <c r="I54" i="1"/>
  <c r="J45" i="1"/>
  <c r="J62" i="1"/>
  <c r="I44" i="1"/>
  <c r="P44" i="1" s="1"/>
  <c r="J51" i="1"/>
  <c r="H14" i="1"/>
  <c r="L14" i="1" s="1"/>
  <c r="H29" i="1"/>
  <c r="L29" i="1" s="1"/>
  <c r="H42" i="1"/>
  <c r="L42" i="1" s="1"/>
  <c r="I39" i="1"/>
  <c r="J53" i="1"/>
  <c r="J6" i="1"/>
  <c r="J48" i="1"/>
  <c r="I62" i="1"/>
  <c r="P62" i="1" s="1"/>
  <c r="H36" i="1"/>
  <c r="L36" i="1" s="1"/>
  <c r="I8" i="1"/>
  <c r="I49" i="1"/>
  <c r="I66" i="1"/>
  <c r="P66" i="1" s="1"/>
  <c r="J57" i="1"/>
  <c r="I37" i="1"/>
  <c r="J10" i="1"/>
  <c r="M13" i="1"/>
  <c r="M53" i="1"/>
  <c r="I12" i="1"/>
  <c r="I24" i="1"/>
  <c r="P24" i="1" s="1"/>
  <c r="I36" i="1"/>
  <c r="I48" i="1"/>
  <c r="P48" i="1" s="1"/>
  <c r="H26" i="1"/>
  <c r="L26" i="1" s="1"/>
  <c r="H41" i="1"/>
  <c r="L41" i="1" s="1"/>
  <c r="H54" i="1"/>
  <c r="L54" i="1" s="1"/>
  <c r="I51" i="1"/>
  <c r="P51" i="1" s="1"/>
  <c r="J65" i="1"/>
  <c r="J18" i="1"/>
  <c r="I11" i="1"/>
  <c r="P11" i="1" s="1"/>
  <c r="H45" i="1"/>
  <c r="L45" i="1" s="1"/>
  <c r="H48" i="1"/>
  <c r="L48" i="1" s="1"/>
  <c r="I32" i="1"/>
  <c r="P32" i="1" s="1"/>
  <c r="J27" i="1"/>
  <c r="H13" i="1"/>
  <c r="L13" i="1" s="1"/>
  <c r="I20" i="1"/>
  <c r="P20" i="1" s="1"/>
  <c r="I26" i="1"/>
  <c r="P26" i="1" s="1"/>
  <c r="J22" i="1"/>
  <c r="H9" i="1"/>
  <c r="L9" i="1" s="1"/>
  <c r="M64" i="1"/>
  <c r="M41" i="1"/>
  <c r="M60" i="1"/>
  <c r="H53" i="1"/>
  <c r="L53" i="1" s="1"/>
  <c r="H66" i="1"/>
  <c r="L66" i="1" s="1"/>
  <c r="I63" i="1"/>
  <c r="I16" i="1"/>
  <c r="P16" i="1" s="1"/>
  <c r="J30" i="1"/>
  <c r="I59" i="1"/>
  <c r="P59" i="1" s="1"/>
  <c r="J28" i="1"/>
  <c r="H60" i="1"/>
  <c r="L60" i="1" s="1"/>
  <c r="I56" i="1"/>
  <c r="P56" i="1" s="1"/>
  <c r="J63" i="1"/>
  <c r="H25" i="1"/>
  <c r="L25" i="1" s="1"/>
  <c r="J34" i="1"/>
  <c r="H21" i="1"/>
  <c r="L21" i="1" s="1"/>
  <c r="J58" i="1"/>
  <c r="J4" i="1"/>
  <c r="M10" i="1"/>
  <c r="M47" i="1"/>
  <c r="M61" i="1"/>
  <c r="M34" i="1"/>
  <c r="H38" i="1"/>
  <c r="L38" i="1" s="1"/>
  <c r="H50" i="1"/>
  <c r="L50" i="1" s="1"/>
  <c r="H65" i="1"/>
  <c r="L65" i="1" s="1"/>
  <c r="H7" i="1"/>
  <c r="L7" i="1" s="1"/>
  <c r="H10" i="1"/>
  <c r="L10" i="1" s="1"/>
  <c r="I28" i="1"/>
  <c r="P28" i="1" s="1"/>
  <c r="J42" i="1"/>
  <c r="J25" i="1"/>
  <c r="I4" i="1"/>
  <c r="P4" i="1" s="1"/>
  <c r="J7" i="1"/>
  <c r="I9" i="1"/>
  <c r="I50" i="1"/>
  <c r="H37" i="1"/>
  <c r="L37" i="1" s="1"/>
  <c r="I21" i="1"/>
  <c r="H57" i="1"/>
  <c r="L57" i="1" s="1"/>
  <c r="I33" i="1"/>
  <c r="P33" i="1" s="1"/>
  <c r="P50" i="1" l="1"/>
  <c r="P9" i="1"/>
  <c r="P63" i="1"/>
  <c r="P36" i="1"/>
  <c r="M3" i="1"/>
  <c r="P61" i="1"/>
  <c r="N32" i="1"/>
  <c r="R56" i="1"/>
  <c r="P8" i="1"/>
  <c r="M6" i="1"/>
  <c r="P22" i="1"/>
  <c r="P55" i="1"/>
  <c r="R55" i="1"/>
  <c r="P30" i="1"/>
  <c r="Q46" i="1"/>
  <c r="P18" i="1"/>
  <c r="Q67" i="1"/>
  <c r="R32" i="1"/>
  <c r="M58" i="1"/>
  <c r="P53" i="1"/>
  <c r="P41" i="1"/>
  <c r="P17" i="1"/>
  <c r="R67" i="1"/>
  <c r="P37" i="1"/>
  <c r="P38" i="1"/>
  <c r="P39" i="1"/>
  <c r="M67" i="1"/>
  <c r="N53" i="1"/>
  <c r="R53" i="1"/>
  <c r="Q53" i="1"/>
  <c r="N50" i="1"/>
  <c r="Q50" i="1"/>
  <c r="R50" i="1"/>
  <c r="N20" i="1"/>
  <c r="R20" i="1"/>
  <c r="Q20" i="1"/>
  <c r="N36" i="1"/>
  <c r="Q36" i="1"/>
  <c r="R36" i="1"/>
  <c r="N49" i="1"/>
  <c r="Q49" i="1"/>
  <c r="R49" i="1"/>
  <c r="R46" i="1"/>
  <c r="N64" i="1"/>
  <c r="R64" i="1"/>
  <c r="Q64" i="1"/>
  <c r="N21" i="1"/>
  <c r="R21" i="1"/>
  <c r="Q21" i="1"/>
  <c r="N44" i="1"/>
  <c r="R44" i="1"/>
  <c r="Q44" i="1"/>
  <c r="Q41" i="1"/>
  <c r="N38" i="1"/>
  <c r="Q38" i="1"/>
  <c r="R38" i="1"/>
  <c r="N35" i="1"/>
  <c r="Q35" i="1"/>
  <c r="R35" i="1"/>
  <c r="N43" i="1"/>
  <c r="R43" i="1"/>
  <c r="Q43" i="1"/>
  <c r="N14" i="1"/>
  <c r="Q14" i="1"/>
  <c r="R14" i="1"/>
  <c r="N37" i="1"/>
  <c r="Q37" i="1"/>
  <c r="R37" i="1"/>
  <c r="N25" i="1"/>
  <c r="Q25" i="1"/>
  <c r="R25" i="1"/>
  <c r="N57" i="1"/>
  <c r="R57" i="1"/>
  <c r="Q57" i="1"/>
  <c r="N5" i="1"/>
  <c r="R5" i="1"/>
  <c r="Q5" i="1"/>
  <c r="N4" i="1"/>
  <c r="R4" i="1"/>
  <c r="Q4" i="1"/>
  <c r="N62" i="1"/>
  <c r="Q62" i="1"/>
  <c r="R62" i="1"/>
  <c r="Q52" i="1"/>
  <c r="P13" i="1"/>
  <c r="P57" i="1"/>
  <c r="P65" i="1"/>
  <c r="N11" i="1"/>
  <c r="Q11" i="1"/>
  <c r="R11" i="1"/>
  <c r="R41" i="1"/>
  <c r="N63" i="1"/>
  <c r="Q63" i="1"/>
  <c r="R63" i="1"/>
  <c r="N18" i="1"/>
  <c r="R18" i="1"/>
  <c r="Q18" i="1"/>
  <c r="N31" i="1"/>
  <c r="R31" i="1"/>
  <c r="Q31" i="1"/>
  <c r="N9" i="1"/>
  <c r="R9" i="1"/>
  <c r="Q9" i="1"/>
  <c r="L2" i="1"/>
  <c r="N19" i="1"/>
  <c r="R19" i="1"/>
  <c r="Q19" i="1"/>
  <c r="N59" i="1"/>
  <c r="Q59" i="1"/>
  <c r="R59" i="1"/>
  <c r="M7" i="1"/>
  <c r="N27" i="1"/>
  <c r="Q27" i="1"/>
  <c r="R27" i="1"/>
  <c r="N45" i="1"/>
  <c r="R45" i="1"/>
  <c r="Q45" i="1"/>
  <c r="M52" i="1"/>
  <c r="R52" i="1"/>
  <c r="P23" i="1"/>
  <c r="N24" i="1"/>
  <c r="Q24" i="1"/>
  <c r="R24" i="1"/>
  <c r="N16" i="1"/>
  <c r="R16" i="1"/>
  <c r="Q16" i="1"/>
  <c r="N26" i="1"/>
  <c r="Q26" i="1"/>
  <c r="R26" i="1"/>
  <c r="P29" i="1"/>
  <c r="N7" i="1"/>
  <c r="R7" i="1"/>
  <c r="Q7" i="1"/>
  <c r="N10" i="1"/>
  <c r="R10" i="1"/>
  <c r="Q10" i="1"/>
  <c r="N61" i="1"/>
  <c r="Q61" i="1"/>
  <c r="R61" i="1"/>
  <c r="P54" i="1"/>
  <c r="M22" i="1"/>
  <c r="R39" i="1"/>
  <c r="P5" i="1"/>
  <c r="P34" i="1"/>
  <c r="Q55" i="1"/>
  <c r="M55" i="1"/>
  <c r="N65" i="1"/>
  <c r="R65" i="1"/>
  <c r="Q65" i="1"/>
  <c r="N60" i="1"/>
  <c r="Q60" i="1"/>
  <c r="R60" i="1"/>
  <c r="N28" i="1"/>
  <c r="R28" i="1"/>
  <c r="Q28" i="1"/>
  <c r="M46" i="1"/>
  <c r="N54" i="1"/>
  <c r="R54" i="1"/>
  <c r="Q54" i="1"/>
  <c r="N42" i="1"/>
  <c r="R42" i="1"/>
  <c r="Q42" i="1"/>
  <c r="N30" i="1"/>
  <c r="R30" i="1"/>
  <c r="Q30" i="1"/>
  <c r="N51" i="1"/>
  <c r="Q51" i="1"/>
  <c r="R51" i="1"/>
  <c r="P49" i="1"/>
  <c r="N17" i="1"/>
  <c r="R17" i="1"/>
  <c r="Q17" i="1"/>
  <c r="M17" i="1"/>
  <c r="P12" i="1"/>
  <c r="M57" i="1"/>
  <c r="P14" i="1"/>
  <c r="Q39" i="1"/>
  <c r="P35" i="1"/>
  <c r="P10" i="1"/>
  <c r="N23" i="1"/>
  <c r="Q23" i="1"/>
  <c r="R23" i="1"/>
  <c r="P15" i="1"/>
  <c r="N8" i="1"/>
  <c r="R8" i="1"/>
  <c r="Q8" i="1"/>
  <c r="N47" i="1"/>
  <c r="Q47" i="1"/>
  <c r="R47" i="1"/>
  <c r="N22" i="1"/>
  <c r="R22" i="1"/>
  <c r="Q22" i="1"/>
  <c r="R3" i="1"/>
  <c r="Q3" i="1"/>
  <c r="N13" i="1"/>
  <c r="Q13" i="1"/>
  <c r="R13" i="1"/>
  <c r="N66" i="1"/>
  <c r="R66" i="1"/>
  <c r="Q66" i="1"/>
  <c r="N12" i="1"/>
  <c r="Q12" i="1"/>
  <c r="R12" i="1"/>
  <c r="P42" i="1"/>
  <c r="N58" i="1"/>
  <c r="R58" i="1"/>
  <c r="Q58" i="1"/>
  <c r="P21" i="1"/>
  <c r="N34" i="1"/>
  <c r="R34" i="1"/>
  <c r="Q34" i="1"/>
  <c r="M27" i="1"/>
  <c r="N48" i="1"/>
  <c r="Q48" i="1"/>
  <c r="R48" i="1"/>
  <c r="N3" i="1"/>
  <c r="N6" i="1"/>
  <c r="R6" i="1"/>
  <c r="Q6" i="1"/>
  <c r="M25" i="1"/>
  <c r="N15" i="1"/>
  <c r="Q15" i="1"/>
  <c r="R15" i="1"/>
  <c r="N40" i="1"/>
  <c r="R40" i="1"/>
  <c r="Q40" i="1"/>
  <c r="Q29" i="1"/>
  <c r="P47" i="1"/>
  <c r="N33" i="1"/>
  <c r="R33" i="1"/>
  <c r="Q33" i="1"/>
  <c r="Q56" i="1"/>
  <c r="M26" i="1"/>
  <c r="M20" i="1"/>
  <c r="M56" i="1"/>
  <c r="I2" i="1"/>
  <c r="M12" i="1"/>
  <c r="M66" i="1"/>
  <c r="M59" i="1"/>
  <c r="M49" i="1"/>
  <c r="M44" i="1"/>
  <c r="M48" i="1"/>
  <c r="M36" i="1"/>
  <c r="M32" i="1"/>
  <c r="M11" i="1"/>
  <c r="J2" i="1"/>
  <c r="M8" i="1"/>
  <c r="M37" i="1"/>
  <c r="M9" i="1"/>
  <c r="M16" i="1"/>
  <c r="M28" i="1"/>
  <c r="M39" i="1"/>
  <c r="M24" i="1"/>
  <c r="M50" i="1"/>
  <c r="M4" i="1"/>
  <c r="M63" i="1"/>
  <c r="M62" i="1"/>
  <c r="M54" i="1"/>
  <c r="H2" i="1"/>
  <c r="M33" i="1"/>
  <c r="M21" i="1"/>
  <c r="M51" i="1"/>
  <c r="P2" i="1" l="1"/>
  <c r="N2" i="1"/>
  <c r="Q2" i="1"/>
  <c r="M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Sipos Lucas</author>
  </authors>
  <commentList>
    <comment ref="C66" authorId="0" shapeId="0" xr:uid="{BAD4953F-8655-4242-AD79-587D3A00B052}">
      <text>
        <r>
          <rPr>
            <sz val="10"/>
            <color rgb="FF000000"/>
            <rFont val="Tahoma"/>
            <family val="2"/>
          </rPr>
          <t>Here is a space character</t>
        </r>
      </text>
    </comment>
    <comment ref="G66" authorId="0" shapeId="0" xr:uid="{00383821-5B41-0640-AE58-AE7DC8286660}">
      <text>
        <r>
          <rPr>
            <sz val="10"/>
            <color rgb="FF000000"/>
            <rFont val="Tahoma"/>
            <family val="2"/>
          </rPr>
          <t>Here is a space character</t>
        </r>
      </text>
    </comment>
    <comment ref="K66" authorId="0" shapeId="0" xr:uid="{315C9FD5-386F-8F4B-8CE7-5238595A5E1C}">
      <text>
        <r>
          <rPr>
            <sz val="10"/>
            <color rgb="FF000000"/>
            <rFont val="Tahoma"/>
            <family val="2"/>
          </rPr>
          <t>Here is a space character</t>
        </r>
      </text>
    </comment>
    <comment ref="O66" authorId="0" shapeId="0" xr:uid="{FD3B77C4-5AD0-1F4A-9570-0F03D135DA7A}">
      <text>
        <r>
          <rPr>
            <sz val="10"/>
            <color rgb="FF000000"/>
            <rFont val="Tahoma"/>
            <family val="2"/>
          </rPr>
          <t>Here is a space character</t>
        </r>
      </text>
    </comment>
  </commentList>
</comments>
</file>

<file path=xl/sharedStrings.xml><?xml version="1.0" encoding="utf-8"?>
<sst xmlns="http://schemas.openxmlformats.org/spreadsheetml/2006/main" count="287" uniqueCount="83">
  <si>
    <t>Character</t>
  </si>
  <si>
    <t>raw count</t>
  </si>
  <si>
    <t>Candide</t>
  </si>
  <si>
    <t>Faust</t>
  </si>
  <si>
    <t>Gatsby</t>
  </si>
  <si>
    <t>a</t>
  </si>
  <si>
    <t>b</t>
  </si>
  <si>
    <t>c</t>
  </si>
  <si>
    <t>d</t>
  </si>
  <si>
    <t>e</t>
  </si>
  <si>
    <t>f</t>
  </si>
  <si>
    <t>g</t>
  </si>
  <si>
    <t>h</t>
  </si>
  <si>
    <t>i</t>
  </si>
  <si>
    <t>k</t>
  </si>
  <si>
    <t>l</t>
  </si>
  <si>
    <t>m</t>
  </si>
  <si>
    <t>n</t>
  </si>
  <si>
    <t>j</t>
  </si>
  <si>
    <t>o</t>
  </si>
  <si>
    <t>p</t>
  </si>
  <si>
    <t>q</t>
  </si>
  <si>
    <t>r</t>
  </si>
  <si>
    <t>s</t>
  </si>
  <si>
    <t>t</t>
  </si>
  <si>
    <t>u</t>
  </si>
  <si>
    <t>v</t>
  </si>
  <si>
    <t>w</t>
  </si>
  <si>
    <t>x</t>
  </si>
  <si>
    <t>y</t>
  </si>
  <si>
    <t>z</t>
  </si>
  <si>
    <t>A</t>
  </si>
  <si>
    <t>B</t>
  </si>
  <si>
    <t>C</t>
  </si>
  <si>
    <t>D</t>
  </si>
  <si>
    <t>E</t>
  </si>
  <si>
    <t>F</t>
  </si>
  <si>
    <t>G</t>
  </si>
  <si>
    <t>H</t>
  </si>
  <si>
    <t>I</t>
  </si>
  <si>
    <t>J</t>
  </si>
  <si>
    <t>K</t>
  </si>
  <si>
    <t>L</t>
  </si>
  <si>
    <t>M</t>
  </si>
  <si>
    <t>N</t>
  </si>
  <si>
    <t>O</t>
  </si>
  <si>
    <t>P</t>
  </si>
  <si>
    <t>Q</t>
  </si>
  <si>
    <t>R</t>
  </si>
  <si>
    <t>S</t>
  </si>
  <si>
    <t>T</t>
  </si>
  <si>
    <t>U</t>
  </si>
  <si>
    <t>V</t>
  </si>
  <si>
    <t>W</t>
  </si>
  <si>
    <t>X</t>
  </si>
  <si>
    <t>Y</t>
  </si>
  <si>
    <t>Z</t>
  </si>
  <si>
    <t>1</t>
  </si>
  <si>
    <t>2</t>
  </si>
  <si>
    <t>3</t>
  </si>
  <si>
    <t>4</t>
  </si>
  <si>
    <t>5</t>
  </si>
  <si>
    <t>6</t>
  </si>
  <si>
    <t>7</t>
  </si>
  <si>
    <t>8</t>
  </si>
  <si>
    <t>9</t>
  </si>
  <si>
    <t>,</t>
  </si>
  <si>
    <t>.</t>
  </si>
  <si>
    <t>Text</t>
  </si>
  <si>
    <t>The Project Gutenberg eBook of The Great Gatsby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United States,
you will have to check the laws of the country where you are located
before using this eBook.
Title: The Great Gatsby
Author: F. Scott Fitzgerald
Release date: January 17, 2021 [eBook #64317]
                Most recently updated: January 26, 2025
Language: English
Credits: Produced by Alex Cabal for the Standard Ebooks project, based on a transcription produced for Project Gutenberg Australia.
*** START OF THE PROJECT GUTENBERG EBOOK THE GREAT GATSBY ***
                           The Great Gatsby
                                  by
                          F. Scott Fitzgerald
                           Table of Contents
I
II
III
IV
V
VI
VII
VIII
IX
                              Once again
                                  to
                                 Zelda
  Then wear the gold hat, if that will move her;
  If you can bounce high, bounce for her too,
  Till she cry “Lover, gold-hatted, high-bouncing lover,
  I must have you!”
  Thomas Parke d’Invilliers
                                  I
In my younger and more vulnerable years my father gave me some advice
that I’ve been turning over in my mind ever since.
“Whenever you feel like criticizing anyone,” he told me, “just
remember that all the people in this world haven’t had the advantages
that you’ve had.”
He didn’t say any more, but we’ve always been unusually communicative
in a reserved way, and I understood that he meant a great deal more
than that. In consequence, I’m inclined to reserve all judgements, a
habit that has opened up many curious natures to me and also made me
the victim of not a few veteran bores. The abnormal mind is quick to
detect and attach itself to this quality when it appears in a normal
person, and so it came about that in college I was unjustly accused of
being a politician, because I was privy to the secret griefs of wild,
unknown men. Most of the confidences were unsought—frequently I have
feigned sleep, preoccupation, or a hostile levity when I realized by
some unmistakable sign that an intimate revelation was quivering on
the horizon; for the intimate revelations of young men, or at least
the terms in which they express them, are usually plagiaristic and
marred by obvious suppressions. Reserving judgements is a matter of
infinite hope. I am still a little afraid of missing something if I
forget that, as my father snobbishly suggested, and I snobbishly
repeat, a sense of the fundamental decencies is parcelled out
unequally at birth.
And, after boasting this way of my tolerance, I come to the admission
that it has a limit. Conduct may be founded on the hard rock or the
wet marshes, but after a certain point I don’t care what it’s founded
on. When I came back from the East last autumn I felt that I wanted
the world to be in uniform and at a sort of moral attention forever; I
wanted no more riotous excursions with privileged glimpses into the
human heart. Only Gatsby, the man who gives his name to this book, was
exempt from my reaction—Gatsby, who represented everything for which I
have an unaffected scorn. If personality is an unbroken series of
successful gestures, then there was something gorgeous about him, some
heightened sensitivity to the promises of life, as if he were related
to one of those intricate machines that register earthquakes ten
thousand miles away. This responsiveness had nothing to do with that
flabby impressionability which is dignified under the name of the
“creative temperament”—it was an extraordinary gift for hope, a
romantic readiness such as I have never found in any other person and
which it is not likely I shall ever find again. No—Gatsby turned out
all right at the end; it is what preyed on Gatsby, what foul dust
floated in the wake of his dreams that temporarily closed out my
interest in the abortive sorrows and short-winded elations of men.
------------------------------------------------------------------------
My family have been prominent, well-to-do people in this Middle
Western city for three generations. The Carraways are something of a
clan, and we have a tradition that we’re descended from the Dukes of
Buccleuch, but the actual founder of my line was my grandfather’s
brother, who came here in fifty-one, sent a substitute to the Civil
War, and started the wholesale hardware business that my father
carries on today.
I never saw this great-uncle, but I’m supposed to look like him—with
special reference to the rather hard-boiled painting that hangs in
father’s office. I graduated from New Haven in 1915, just a quarter of
a century after my father, and a little later I participated in that
delayed Teutonic migration known as the Great War. I enjoyed the
counter-raid so thoroughly that I came back restless. Instead of being
the warm centre of the world, the Middle West now seemed like the
ragged edge of the universe—so I decided to go East and learn the bond
business. Everybody I knew was in the bond business, so I supposed it
could support one more single man. All my aunts and uncles talked it
over as if they were choosing a prep school for me, and finally said,
“Why—ye-es,” with very grave, hesitant faces. Father agreed to finance
me for a year, and after various delays I came East, permanently, I
thought, in the spring of twenty-two.
The practical thing was to find rooms in the city, but it was a warm
season, and I had just left a country of wide lawns and friendly
trees, so when a young man at the office suggested that we take a
house together in a commuting town, it sounded like a great idea. He
found the house, a weather-beaten cardboard bungalow at eighty a
month, but at the last minute the firm ordered him to Washington, and
I went out to the country alone. I had a dog—at least I had him for a
few days until he ran away—and an old Dodge and a Finnish woman, who
made my bed and cooked breakfast and muttered Finnish wisdom to
herself over the electric stove.
It was lonely for a day or so until one morning some man, more
recently arrived than I, stopped me on the road.
“How do you get to West Egg village?” he asked helplessly.
I told him. And as I walked on I was lonely no longer. I was a guide,
a pathfinder, an original settler. He had casually conferred on me the
freedom of the neighbourhood.
And so with the sunshine and the great bursts of leaves growing on the
trees, just as things grow in fast movies, I had that familiar
conviction that life was beginning over again with the summer.
There was so much to read, for one thing, and so much fine health to
be pulled down out of the young breath-giving air. I bought a dozen
volumes on banking and credit and investment securities, and they
stood on my shelf in red and gold like new money from the mint,
promising to unfold the shining secrets that only Midas and Morgan and
Maecenas knew. And I had the high intention of reading many other
books besides. I was rather literary in college—one year I wrote a
series of very solemn and obvious editorials for the Yale News—and now
I was going to bring back all such things into my life and become
again that most limited of all specialists, the “well-rounded man.”
This isn’t just an epigram—life is much more successfully looked at
from a single window, after all.
It was a matter of chance that I should have rented a house in one of
the strangest communities in North America. It was on that slender
riotous island which extends itself due east of New York—and where
there are, among other natural curiosities, two unusual formations of
land. Twenty miles from the city a pair of enormous eggs, identical in
contour and separated only by a courtesy bay, jut out into the most
domesticated body of salt water in the Western hemisphere, the great
wet barnyard of Long Island Sound. They are not perfect ovals—like the
egg in the Columbus story, they are both crushed flat at the contact
end—but their physical resemblance must be a source of perpetual
wonder to the gulls that fly overhead. To the wingless a more
interesting phenomenon is their dissimilarity in every particular
except shape and size.
I lived at West Egg, the—well, the less fashionable of the two, though
this is a most superficial tag to express the bizarre and not a little
sinister contrast between them. My house was at the very tip of the
egg, only fifty yards from the Sound, and squeezed between two huge
places that rented for twelve or fifteen thousand a season. The one on
my right was a colossal affair by any standard—it was a factual
imitation of some Hôtel de Ville in Normandy, with a tower on one
side, spanking new under a thin beard of raw ivy, and a marble
swimming pool, and more than forty acres of lawn and garden. It was
Gatsby’s mansion. Or, rather, as I didn’t know Mr. Gatsby, it was a
mansion inhabited by a gentleman of that name. My own house was an
eyesore, but it was a small eyesore, and it had been overlooked, so I
had a view of the water, a partial view of my neighbour’s lawn, and
the consoling proximity of millionaires—all for eighty dollars a
month.
Across the courtesy bay the white palaces of fashionable East Egg
glittered along the water, and the history of the summer really begins
on the evening I drove over there to have dinner with the Tom
Buchanans. Daisy was my second cousin once removed, and I’d known Tom
in college. And just after the war I spent two days with them in
Chicago.
Her husband, among various physical accomplishments, had been one of
the most powerful ends that ever played football at New Haven—a
national figure in a way, one of those men who reach such an acute
limited excellence at twenty-one that everything afterward savours of
anticlimax. His family were enormously wealthy—even in college his
freedom with money was a matter for reproach—but now he’d left Chicago
and come East in a fashion that rather took your breath away: for
instance, he’d brought down a string of polo ponies from Lake
Forest. It was hard to realize that a man in my own generation was
wealthy enough to do that.
Why they came East I don’t know. They had spent a year in France for
no particular reason, and then drifted here and there unrestfully
wherever people played polo and were rich together. This was a
permanent move, said Daisy over the telephone, but I didn’t believe
it—I had no sight into Daisy’s heart, but I felt that Tom would drift
on forever seeking, a little wistfully, for the dramatic turbulence of
some irrecoverable football game.
And so it happened that on a warm windy evening I drove over to East
Egg to see two old friends whom I scarcely knew at all. Their house
was even more elaborate than I expected, a cheerful red-and-white
Georgian Colonial mansion, overlooking the bay. The lawn started at
the beach and ran towards the front door for a quarter of a mile,
jumping over sundials and brick walks and burning gardens—finally when
it reached the house drifting up the side in bright vines as though
from the momentum of its run. The front was broken by a line of French
windows, glowing now with reflected gold and wide open to the warm
windy afternoon, and Tom Buchanan in riding clothes was standing with
his legs apart on the front porch.
He had changed since his New Haven years. Now he was a sturdy
straw-haired man of thirty, with a rather hard mouth and a
supercilious manner. Two shining arrogant eyes had established
dominance over his face and gave him the appearance of always leaning
aggressively forward. Not even the effeminate swank of his riding
clothes could hide the enormous power of that body—he seemed to fill
those glistening boots until he strained the top lacing, and you could
see a great pack of muscle shifting when his shoulder moved under his
thin coat. It was a body capable of enormous leverage—a cruel body.
His speaking voice, a gruff husky tenor, added to the impression of
fractiousness he conveyed. There was a touch of paternal contempt in
it, even toward people he liked—and there were men at New Haven who
had hated his guts.
“Now, don’t think my opinion on these matters is final,” he seemed to
say, “just because I’m stronger and more of a man than you are.” We
were in the same senior society, and while we were never intimate I
always had the impression that he approved of me and wanted me to like
him with some harsh, defiant wistfulness of his own.
We talked for a few minutes on the sunny porch.
“I’ve got a nice place here,” he said, his eyes flashing about
restlessly.
Turning me around by one arm, he moved a broad flat hand along the
front vista, including in its sweep a sunken Italian garden, a half
acre of deep, pungent roses, and a snub-nosed motorboat that bumped
the tide offshore.
“It belonged to Demaine, the oil man.” He turned me around again,
politely and abruptly. “We’ll go inside.”
We walked through a high hallway into a bright rosy-coloured space,
fragilely bound into the house by French windows at either end. The
windows were ajar and gleaming white against the fresh grass outside
that seemed to grow a little way into the house. A breeze blew through
the room, blew curtains in at one end and out the other like pale
flags, twisting them up toward the frosted wedding-cake of the
ceiling, and then rippled over the wine-coloured rug, making a shadow
on it as wind does on the sea.
The only completely stationary object in the room was an enormous
couch on which two young women were buoyed up as though upon an
anchored balloon. They were both in white, and their dresses were
rippling and fluttering as if they had just been blown back in after a
short flight around the house. I must have stood for a few moments
listening to the whip and snap of the curtains and the groan of a
picture on the wall. Then there was a boom as Tom Buchanan shut the
rear windows and the caught wind died out about the room, and the
curtains and the rugs and the two young women ballooned slowly to the
floor.
The younger of the two was a stranger to me. She was extended full
length at her end of the divan, completely motionless, and with her
chin raised a little, as if she were balancing something on it which
was quite likely to fall. If she saw me out of the corner of her eyes
she gave no hint of it—indeed, I was almost surprised into murmuring
an apology for having disturbed her by coming in.
The other girl, Daisy, made an attempt to rise—she leaned slightly
forward with a conscientious expression—then she laughed, an absurd,
charming little laugh, and I laughed too and came forward into the
room.
“I’m p-paralysed with happiness.”
She laughed again, as if she said something very witty, and held my
hand for a moment, looking up into my face, promising that there was
no one in the world she so much wanted to see. That was a way she
had. She hinted in a murmur that the surname of the balancing girl was
Baker. (I’ve heard it said that Daisy’s murmur was only to make people
lean toward her; an irrelevant criticism that made it no less
charming.)
At any rate, Miss Baker’s lips fluttered, she nodded at me almost
imperceptibly, and then quickly tipped her head back again—the object
she was balancing had obviously tottered a little and given her
something of a fright. Again a sort of apology arose to my lips.
Almost any exhibition of complete self-sufficiency draws a stunned
tribute from me.
I looked back at my cousin, who began to ask me questions in her low,
thrilling voice. It was the kind of voice that the ear follows up and
down, as if each speech is an arrangement of notes that will never be
played again. Her face was sad and lovely with bright things in it,
bright eyes and a bright passionate mouth, but there was an excitement
in her voice that men who had cared for her found difficult to forget:
a singing compulsion, a whispered “Listen,” a promise that she had
done gay, exciting things just a while since and that there were gay,
exciting things hovering in the next hour.
I told her how I had stopped off in Chicago for a day on my way East,
and how a dozen people had sent their love through me.
“Do they miss me?” she cried ecstatically.
“The whole town is desolate. All the cars have the left rear wheel
painted black as a mourning wreath, and there’s a persistent wail all
night along the north shore.”
“How gorgeous! Let’s go back, Tom. Tomorrow!” Then she added
irrelevantly: “You ought to see the baby.”
“I’d like to.”
“She’s asleep. She’s three years old. Haven’t you ever seen her?”
“Never.”
“Well, you ought to see her. She’s—”
Tom Buchanan, who had been hovering restlessly about the room, stopped
and rested his hand on my shoulder.
“What you doing, Nick?”
“I’m a bond man.”
“Who with?”
I told him.
“Never heard of them,” he remarked decisively.
This annoyed me.
“You will,” I answered shortly. “You will if you stay in the East.”
“Oh, I’ll stay in the East, don’t you worry,” he said, glancing at
Daisy and then back at me, as if he were alert for something
more. “I’d be a God damned fool to live anywhere else.”
At this point Miss Baker said: “Absolutely!” with such suddenness that
I started—it was the first word she had uttered since I came into the
room. Evidently it surprised her as much as it did me, for she yawned
and with a series of rapid, deft movements stood up into the room.
“I’m stiff,” she complained, “I’ve been lying on that sofa for as long
as I can remember.”
“Don’t look at me,” Daisy retorted, “I’ve been trying to get you to
New York all afternoon.”
“No, thanks,” said Miss Baker to the four cocktails just in from the
pantry. “I’m absolutely in training.”
Her host looked at her incredulously.
“You are!” He took down his drink as if it were a drop in the bottom
of a glass. “How you ever get anything done is beyond me.”
I looked at Miss Baker, wondering what it was she “got done.” I
enjoyed looking at her. She was a slender, small-breasted girl, with
an erect carriage, which she accentuated by throwing her body backward
at the shoulders like a young cadet. Her grey sun-strained eyes looked
back at me with polite reciprocal curiosity out of a wan, charming,
discontented face. It occurred to me now that I had seen her, or a
picture of her, somewhere before.
“You live in West Egg,” she remarked contemptuously. “I know somebody
there.”
“I don’t know a single—”
“You must know Gatsby.”
“Gatsby?” demanded Daisy. “What Gatsby?”
Before I could reply that he was my neighbour dinner was announced;
wedging his tense arm imperatively under mine, Tom Buchanan compelled
me from the room as though he were moving a checker to another square.
Slenderly, languidly, their hands set lightly on their hips, the two
young women preceded us out on to a rosy-coloured porch, open toward
the sunset, where four candles flickered on the table in the
diminished wind.
“Why candles?” objected Daisy, frowning. She snapped them out with her
fingers. “In two weeks it’ll be the longest day in the year.” She
looked at us all radiantly. “Do you always watch for the longest day
of the year and then miss it? I always watch for the longest day in
the year and then miss it.”
“We ought to plan something,” yawned Miss Baker, sitting down at the
table as if she were getting into bed.
“All right,” said Daisy. “What’ll we plan?” She turned to me
helplessly: “What do people plan?”
Before I could answer her eyes fastened with an awed expression on her
little finger.
“Look!” she complained; “I hurt it.”
We all looked—the knuckle was black and blue.
“You did it, Tom,” she said accusingly. “I know you didn’t mean to,
but you did do it. That’s what I get for marrying a brute of a man, a
great, big, hulking physical specimen of a—”
“I hate that word ‘hulking,’ ” objected Tom crossly, “even in
kidding.”
“Hulking,” insisted Daisy.
Sometimes she and Miss Baker talked at once, unobtrusively and with a
bantering inconsequence that was never quite chatter, that was as cool
as their white dresses and their impersonal eyes in the absence of all
desire. They were here, and they accepted Tom and me, making only a
polite pleasant effort to entertain or to be entertained. They knew
that presently dinner would be over and a little later the evening too
would be over and casually put away. It was sharply different from the
West, where an evening was hurried from phase to phase towards its
close, in a continually disappointed anticipation or else in sheer
nervous dread of the moment itself.
“You make me feel uncivilized, Daisy,” I confessed on my second glass
of corky but rather impressive claret. “Can’t you talk about crops or
something?”
I meant nothing in particular by this remark, but it was taken up in
an unexpected way.
“Civilization’s going to pieces,” broke out Tom violently. “I’ve
gotten to be a terrible pessimist about things. Have you read The Rise
of the Coloured Empires by this man Goddard?”
“Why, no,” I answered, rather surprised by his tone.
“Well, it’s a fine book, and everybody ought to read it. The idea is
if we don’t look out the white race will be—will be utterly
submerged. It’s all scientific stuff; it’s been proved.”
“Tom’s getting very profound,” said Daisy, with an expression of
unthoughtful sadness. “He reads deep books with long words in
them. What was that word we—”
“Well, these books are all scientific,” insisted Tom, glancing at her
impatiently. “This fellow has worked out the whole thing. It’s up to
us, who are the dominant race, to watch out or these other races will
have control of things.”
“We’ve got to beat them down,” whispered Daisy, winking ferociously
toward the fervent sun.
“You ought to live in California—” began Miss Baker, but Tom
interrupted her by shifting heavily in his chair.
“This idea is that we’re Nordics. I am, and you are, and you are,
and—” After an infinitesimal hesitation he included Daisy with a
slight nod, and she winked at me again. “—And we’ve produced all the
things that go to make civilization—oh, science and art, and all
that. Do you see?”
There was something pathetic in his concentration, as if his
complacency, more acute than of old, was not enough to him any more.
When, almost immediately, the telephone rang inside and the butler
left the porch Daisy seized upon the momentary interruption and leaned
towards me.
“I’ll tell you a family secret,” she whispered enthusiastically.
“It’s about the butler’s nose. Do you want to hear about the butler’s
nose?”
“That’s why I came over tonight.”
“Well, he wasn’t always a butler; he used to be the silver polisher
for some people in New York that had a silver service for two hundred
people. He had to polish it from morning till night, until finally it
began to affect his nose—”
“Things went from bad to worse,” suggested Miss Baker.
“Yes. Things went from bad to worse, until finally he had to give up
his position.”
For a moment the last sunshine fell with romantic affection upon her
glowing face; her voice compelled me forward breathlessly as I
listened—then the glow faded, each light deserting her with lingering
regret, like children leaving a pleasant street at dusk.
The butler came back and murmured something close to Tom’s ear,
whereupon Tom frowned, pushed back his chair, and without a word went
inside. As if his absence quickened something within her, Daisy leaned
forward again, her voice glowing and singing.
“I love to see you at my table, Nick. You remind me of a—of a rose, an
absolute rose. Doesn’t he?” She turned to Miss Baker for confirmation:
“An absolute rose?”
This was untrue. I am not even faintly like a rose. She was only
extemporizing, but a stirring warmth flowed from her, as if her heart
was trying to come out to you concealed in one of those breathless,
thrilling words. Then suddenly she threw her napkin on the table and
excused herself and went into the house.
Miss Baker and I exchanged a short glance consciously devoid of
meaning. I was about to speak when she sat up alertly and said “Sh!”
in a warning voice. A subdued impassioned murmur was audible in the
room beyond, and Miss Baker leaned forward unashamed, trying to
hear. The murmur trembled on the verge of coherence, sank down,
mounted excitedly, and then ceased altogether.
“This Mr. Gatsby you spoke of is my neighbour—” I began.
“Don’t talk. I want to hear what happens.”
“Is something happening?” I inquired innocently.
“You mean to say you don’t know?” said Miss Baker, honestly surprised.
“I thought everybody knew.”
“I don’t.”
“Why—” she said hesitantly. “Tom’s got some woman in New York.”
“Got some woman?” I repeated blankly.
Miss Baker nodded.
“She might have the decency not to telephone him at dinner time.
Don’t you think?”
Almost before I had grasped her meaning there was the flutter of a
dress and the crunch of leather boots, and Tom and Daisy were back at
the table.
“It couldn’t be helped!” cried Daisy with tense gaiety.
She sat down, glanced searchingly at Miss Baker and then at me, and
continued: “I looked outdoors for a minute, and it’s very romantic
outdoors. There’s a bird on the lawn that I think must be a
nightingale come over on the Cunard or White Star Line. He’s singing
away—” Her voice sang: “It’s romantic, isn’t it, Tom?”
“Very romantic,” he said, and then miserably to me: “If it’s light
enough after dinner, I want to take you down to the stables.”
The telephone rang inside, startlingly, and as Daisy shook her head
decisively at Tom the subject of the stables, in fact all subjects,
vanished into air. Among the broken fragments of the last five minutes
at table I remember the candles being lit again, pointlessly, and I
was conscious of wanting to look squarely at everyone, and yet to
avoid all eyes. I couldn’t guess what Daisy and Tom were thinking, but
I doubt if even Miss Baker, who seemed to have mastered a certain
hardy scepticism, was able utterly to put this fifth guest’s shrill
metallic urgency out of mind. To a certain temperament the situation
might have seemed intriguing—my own instinct was to telephone
immediately for the police.
The horses, needless to say, were not mentioned again. Tom and Miss
Baker, with several feet of twilight between them, strolled back into
the library, as if to a vigil beside a perfectly tangible body, while,
trying to look pleasantly interested and a little deaf, I followed
Daisy around a chain of connecting verandas to the porch in front. In
its deep gloom we sat down side by side on a wicker settee.
Daisy took her face in her hands as if feeling its lovely shape, and
her eyes moved gradually out into the velvet dusk. I saw that
turbulent emotions possessed her, so I asked what I thought would be
some sedative questions about her little girl.
“We don’t know each other very well, Nick,” she said suddenly. “Even
if we are cousins. You didn’t come to my wedding.”
“I wasn’t back from the war.”
“That’s true.” She hesitated. “Well, I’ve had a very bad time, Nick,
and I’m pretty cynical about everything.”
Evidently she had reason to be. I waited but she didn’t say any more,
and after a moment I returned rather feebly to the subject of her
daughter.
“I suppose she talks, and—eats, and everything.”
“Oh, yes.” She looked at me absently. “Listen, Nick; let me tell you
what I said when she was born. Would you like to hear?”
“Very much.”
“It’ll show you how I’ve gotten to feel about—things. Well, she was
less than an hour old and Tom was God knows where. I woke up out of
the ether with an utterly abandoned feeling, and asked the nurse right
away if it was a boy or a girl. She told me it was a girl, and so I
turned my head away and wept. ‘All right,’ I said, ‘I’m glad it’s a
girl. And I hope she’ll be a fool—that’s the best thing a girl can be
in this world, a beautiful little fool.’
“You see I think everything’s terrible anyhow,” she went on in a
convinced way. “Everybody thinks so—the most advanced people. And I
know. I’ve been everywhere and seen everything and done everything.”
Her eyes flashed around her in a defiant way, rather like Tom’s, and
she laughed with thrilling scorn. “Sophisticated—God, I’m
sophisticated!”
The instant her voice broke off, ceasing to compel my attention, my
belief, I felt the basic insincerity of what she had said. It made me
uneasy, as though the whole evening had been a trick of some sort to
exact a contributory emotion from me. I waited, and sure enough, in a
moment she looked at me with an absolute smirk on her lovely face, as
if she had asserted her membership in a rather distinguished secret
society to which she and Tom belonged.
------------------------------------------------------------------------
Inside, the crimson room bloomed with light. Tom and Miss Baker sat at
either end of the long couch and she read aloud to him from the
Saturday Evening Post—the words, murmurous and uninflected, running
together in a soothing tune. The lamplight, bright on his boots and
dull on the autumn-leaf yellow of her hair, glinted along the paper as
she turned a page with a flutter of slender muscles in her arms.
When we came in she held us silent for a moment with a lifted hand.
“To be continued,” she said, tossing the magazine on the table, “in
our very next issue.”
Her body asserted itself with a restless movement of her knee, and she
stood up.
“Ten o’clock,” she remarked, apparently finding the time on the
ceiling. “Time for this good girl to go to bed.”
“Jordan’s going to play in the tournament tomorrow,” explained Daisy,
“over at Westchester.”
“Oh—you’re Jordan Baker.”
I knew now why her face was familiar—its pleasing contemptuous
expression had looked out at me from many rotogravure pictures of the
sporting life at Asheville and Hot Springs and Palm Beach. I had heard
some story of her too, a critical, unpleasant story, but what it was I
had forgotten long ago.
“Good night,” she said softly. “Wake me at eight, won’t you.”
“If you’ll get up.”
“I will. Good night, Mr. Carraway. See you anon.”
“Of course you will,” confirmed Daisy. “In fact I think I’ll arrange a
marriage. Come over often, Nick, and I’ll sort of—oh—fling you
together. You know—lock you up accidentally in linen closets and push
you out to sea in a boat, and all that sort of thing—”
“Good night,” called Miss Baker from the stairs. “I haven’t heard a
word.”
“She’s a nice girl,” said Tom after a moment. “They oughtn’t to let
her run around the country this way.”
“Who oughtn’t to?” inquired Daisy coldly.
“Her family.”
“Her family is one aunt about a thousand years old. Besides, Nick’s
going to look after her, aren’t you, Nick? She’s going to spend lots
of weekends out here this summer. I think the home influence will be
very good for her.”
Daisy and Tom looked at each other for a moment in silence.
“Is she from New York?” I asked quickly.
“From Louisville. Our white girlhood was passed together there. Our
beautiful white—”
“Did you give Nick a little heart to heart talk on the veranda?”
demanded Tom suddenly.
“Did I?” She looked at me. “I can’t seem to remember, but I think we
talked about the Nordic race. Yes, I’m sure we did. It sort of crept
up on us and first thing you know—”
“Don’t believe everything you hear, Nick,” he advised me.
I said lightly that I had heard nothing at all, and a few minutes
later I got up to go home. They came to the door with me and stood
side by side in a cheerful square of light. As I started my motor
Daisy peremptorily called: “Wait!
“I forgot to ask you something, and it’s important. We heard you were
engaged to a girl out West.”
“That’s right,” corroborated Tom kindly. “We heard that you were
engaged.”
“It’s a libel. I’m too poor.”
“But we heard it,” insisted Daisy, surprising me by opening up again
in a flower-like way. “We heard it from three people, so it must be
true.”
Of course I knew what they were referring to, but I wasn’t even
vaguely engaged. The fact that gossip had published the banns was one
of the reasons I had come East. You can’t stop going with an old
friend on account of rumours, and on the other hand I had no intention
of being rumoured into marriage.
Their interest rather touched me and made them less remotely
rich—nevertheless, I was confused and a little disgusted as I drove
away. It seemed to me that the thing for Daisy to do was to rush out
of the house, child in arms—but apparently there were no such
intentions in her head. As for Tom, the fact that he “had some woman
in New Yor</t>
  </si>
  <si>
    <t xml:space="preserve"> </t>
  </si>
  <si>
    <t>Book</t>
  </si>
  <si>
    <t>The Project Gutenberg eBook of Faust: Eine Tragödie [erster Teil]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United States,
you will have to check the laws of the country where you are located
before using this eBook.
Title: Faust: Eine Tragödie [erster Teil]
Author: Johann Wolfgang von Goethe
Release date: April 6, 2007 [eBook #21000]
Language: German
Credits: Produced by Markus Brenner and the Online Distributed
        Proofreading Team at http://www.pgdp.net (This file made
        from scans of public domain material at Klassik Stiftung
        Weimar / Herzogin Anna Amalia Bibliothek.)
*** START OF THE PROJECT GUTENBERG EBOOK FAUST: EINE TRAGÖDIE [ERSTER TEIL] ***
Produced by Markus Brenner and the Online Distributed
Proofreading Team at http://www.pgdp.net (This file made
from scans of public domain material at Klassik Stiftung
Weimar / Herzogin Anna Amalia Bibliothek.)
                _Faust._
            _Eine Tragödie._
                  _von_
                _Goethe._
               _Tübingen._
in der J. G. _Cotta_'schen Buchhandlung.
                  1808.
_Zueignung._
Ihr naht euch wieder, schwankende Gestalten!
Die früh sich einst dem trüben Blick gezeigt.
Versuch' ich wohl euch diesmal fest zu halten?
Fühl' ich mein Herz noch jenem Wahn geneigt?
Ihr drängt euch zu! nun gut, so mögt ihr walten,
Wie ihr aus Dunst und Nebel um mich steigt;
Mein Busen fühlt sich jugendlich erschüttert
Vom Zauberhauch der euren Zug umwittert.
Ihr bringt mit euch die Bilder froher Tage,
Und manche liebe Schatten steigen auf;
Gleich einer alten, halbverklungnen Sage,
Kommt erste Lieb' und Freundschaft mit herauf;
Der Schmerz wird neu, es wiederholt die Klage
Des Lebens labyrinthisch irren Lauf,
Und nennt die Guten, die, um schöne Stunden
Vom Glück getäuscht, vor mir hinweggeschwunden.
Sie hören nicht die folgenden Gesänge,
Die Seelen, denen ich die ersten sang,
Zerstoben ist das freundliche Gedränge,
Verklungen ach! der erste Wiederklang.
Mein Leid[Lied] ertönt der unbekannten Menge,
Ihr Beyfall selbst macht meinem Herzen bang,
Und was sich sonst an meinem Lied erfreuet,
Wenn es noch lebt, irrt in der Welt zerstreuet.
Und mich ergreift ein längst entwöhntes Sehnen
Nach jenem stillen, ernsten Geisterreich,
Es schwebet nun, in unbestimmten Tönen,
Mein lispelnd Lied, der Aeolsharfe gleich,
Ein Schauer faßt mich, Thräne folgt den Thränen,
Das strenge Herz es fühlt sich mild und weich;
Was ich besitze seh' ich wie im weiten,
Und was verschwand wird mir zu Wirklichkeiten.
_Vorspiel_
_auf dem Theater._
_Director, Theaterdichter,
lustige Person._
_Director._
Ihr beyden die ihr mir so oft,
In Noth und Trübsal, beygestanden,
Sagt was ihr wohl, in deutschen Landen,
Von unsrer Unternehmung hofft?
Ich wünschte sehr der Menge zu behagen,
Besonders weil sie lebt und leben läßt.
Die Pfosten sind, die Breter aufgeschlagen,
Und jedermann erwartet sich ein Fest.
Sie sitzen schon, mit hohen Augenbraunen,
Gelassen da und möchten gern erstaunen.
Ich weiß wie man den Geist des Volks versöhnt;
Doch so verlegen bin ich nie gewesen;
Zwar sind sie an das Beste nicht gewöhnt,
Allein sie haben schrecklich viel gelesen.
Wie machen wir's? daß alles frisch und neu
Und mit Bedeutung auch gefällig sey.
Denn freylich mag ich gern die Menge sehen,
Wenn sich der Strom nach unsrer Bude drängt,
Und mit gewaltig wiederholten Wehen,
Sich durch die enge Gnadenpforte zwängt;
Bey hellem Tage, schon vor Vieren,
Mit Stößen sich bis an die Kasse ficht
Und, wie in Hungersnoth um Brot an Beckerthüren,
Um ein Billet sich fast die Hälse bricht.
Dieß Wunder wirkt auf so verschiedne Leute
Der Dichter nur; mein Freund, o! thu es heute.
_Dichter._
O sprich mir nicht von jener bunten Menge,
Bey deren Anblick uns der Geist entflieht.
Verhülle mir das wogende Gedränge,
Das wider Willen uns zum Strudel zieht.
Nein, führe mich zur stillen Himmelsenge,
Wo nur dem Dichter reine Freude blüht;
Wo Lieb' und Freundschaft unsres Herzens Segen
Mit Götterhand erschaffen und erpflegen.
    Ach! was in tiefer Brust uns da entsprungen,
Was sich die Lippe schüchtern vorgelallt,
Mißrathen jetzt und jetzt vielleicht gelungen,
Verschlingt des wilden Augenblicks Gewalt.
Oft wenn es erst durch Jahre durchgedrungen
Erscheint es in vollendeter Gestalt.
Was glänzt ist für den Augenblick geboren,
Das Aechte bleibt der Nachwelt unverloren.
_Lustige Person._
Wenn ich nur nichts von Nachwelt hören sollte.
Gesetzt daß _ich_ von Nachwelt reden wollte,
Wer machte denn der Mitwelt Spaß?
Den will sie doch und soll ihn haben.
Die Gegenwart von einem braven Knaben
Ist, dächt' ich, immer auch schon was.
Wer sich behaglich mitzutheilen weiß,
Den wird des Volkes Laune nicht erbittern;
Er wünscht sich einen großen Kreis,
Um ihn gewisser zu erschüttern.
Drum seyd nur brav und zeigt euch musterhaft,
Laßt Phantasie, mit allen ihren Chören,
Vernunft, Verstand, Empfindung, Leidenschaft,
Doch, merkt euch wohl! nicht ohne Narrheit hören.
_Director._
Besonders aber laßt genug geschehn!
Man kommt zu schaun, man will am liebsten sehn.
Wird vieles vor den Augen abgesponnen,
So daß die Menge staunend gaffen kann,
Da habt ihr in der Breite gleich gewonnen,
Ihr seyd ein vielgeliebter Mann.
Die Masse könnt ihr nur durch Masse zwingen,
Ein jeder sucht sich endlich selbst was aus.
Wer vieles bringt, wird manchem etwas bringen;
Und jeder geht zufrieden aus dem Haus.
Gebt ihr ein Stück, so gebt es gleich in Stücken!
Solch ein Ragout es muß euch glücken;
Leicht ist es vorgelegt, so leicht als ausgedacht.
Was hilft's wenn ihr ein Ganzes dargebracht,
Das Publikum wird es euch doch zerpflücken.
_Dichter._
Ihr fühlet nicht wie schlecht ein solches Handwerk sey!
Wie wenig das den ächten Künstler zieme!
Der saubern Herren Pfuscherey
Ist, merk' ich, schon bey euch Maxime.
_Director._
Ein solcher Vorwurf läßt mich ungekränkt;
Ein Mann, der recht zu wirken denkt,
Muß auf das beste Werkzeug halten.
Bedenkt, ihr habet weiches Holz zu spalten,
Und seht nur hin für wen ihr schreibt!
Wenn diesen Langeweile treibt,
Kommt jener satt vom übertischten Mahle,
Und, was das allerschlimmste bleibt,
Gar mancher kommt vom Lesen der Journale.
Man eilt zerstreut zu uns, wie zu den Maskenfesten,
Und Neugier nur beflügelt jeden Schritt;
Die Damen geben sich und ihren Putz zum besten
Und spielen ohne Gage mit.
Was träumet ihr auf eurer Dichter-Höhe?
Was macht ein volles Haus euch froh?
Beseht die Gönner in der Nähe!
Halb sind sie kalt, halb sind sie roh.
Der, nach dem Schauspiel, hofft ein Kartenspiel,
Der eine wilde Nacht an einer Dirne Busen.
Was plagt ihr armen Thoren viel,
Zu solchem Zweck, die holden Musen?
Ich sag' euch, gebt nur mehr, und immer, immer mehr,
So könnt ihr euch vom Ziele nie verirren,
Sucht nur die Menschen zu verwirren,
Sie zu befriedigen ist schwer -- --
Was fällt euch an? Entzückung oder Schmerzen?
_Dichter._
Geh hin und such dir einen andern Knecht!
Der Dichter sollte wohl das höchste Recht,
Das Menschenrecht, das ihm Natur vergönnt,
Um deinetwillen freventlich verscherzen!
Wodurch bewegt er alle Herzen?
Wodurch besiegt er jedes Element?
Ist es der Einklang nicht? der aus dem Busen dringt,
Und in sein Herz die Welt zurücke schlingt.
Wenn die Natur des Fadens ew'ge Länge,
Gleichgültig drehend, auf die Spindel zwingt,
Wenn aller Wesen unharmon'sche Menge
Verdrießlich durch einander klingt;
Wer theilt die fließend immer gleiche Reihe
Belebend ab, daß sie sich rythmisch regt?
Wer ruft das Einzelne zur allgemeinen Weihe?
Wo es in herrlichen Accorden schlägt,
Wer läßt den Sturm zu Leidenschaften wüthen?
Das Abendroth im ernsten Sinne glühn?
Wer schüttet alle schönen Frühlingsblüten
Auf der Geliebten Pfade hin?
Wer flicht die unbedeutend grünen Blätter
Zum Ehrenkranz Verdiensten jeder Art?
Wer sichert den Olymp? vereinet Götter?
Des Menschen Kraft im Dichter offenbart.
_Lustige Person._
So braucht sie denn die schönen Kräfte
Und treibt die dicht'rischen Geschäfte,
Wie man ein Liebesabenteuer treibt.
Zufällig naht man sich, man fühlt, man bleibt
Und nach und nach wird man verflochten;
Es wächst das Glück, dann wird es angefochten,
Man ist entzückt, nun kommt der Schmerz heran,
Und eh man sich's versieht ist's eben ein Roman.
Laßt uns auch so ein Schauspiel geben!
Greift nur hinein ins volle Menschenleben!
Ein jeder lebt's, nicht vielen ist's bekannt,
Und wo ihr's packt, da ist's interessant.
In bunten Bildern wenig Klarheit,
Viel Irrthum und ein Fünkchen Wahrheit,
So wird der beste Trank gebraut,
Der alle Welt erquickt und auferbaut.
Dann sammelt sich der Jugend schönste Blüte
Vor eurem Spiel und lauscht der Offenbarung,
Dann sauget jedes zärtliche Gemüthe
Aus eurem Werk sich melanchol'sche Nahrung;
Dann wird bald dies bald jenes aufgeregt,
Ein jeder sieht was er im Herzen trägt.
Noch sind sie gleich bereit zu weinen und zu lachen,
Sie ehren noch den Schwung, erfreuen sich am Schein;
Wer fertig ist, dem ist nichts recht zu machen,
Ein Werdender wird immer dankbar seyn.
_Dichter._
So gieb mir auch die Zeiten wieder,
Da ich noch selbst im Werden war,
Da sich ein Quell gedrängter Lieder
Ununterbrochen neu gebar,
Da Nebel mir die Welt verhüllten,
Die Knospe Wunder noch versprach,
Da ich die tausend Blumen brach,
Die alle Thäler reichlich füllten.
Ich hatte nichts und doch genug,
Den Drang nach Wahrheit und die Lust am Trug.
Gieb ungebändigt jene Triebe,
Das tiefe schmerzenvolle Glück,
Des Hasses Kraft, die Macht der Liebe,
Gieb meine Jugend mir zurück!
_Lustige Person._
Der Jugend, guter Freund, bedarfst du allenfalls
Wenn dich in Schlachten Feinde drängen,
Wenn mit Gewalt an deinen Hals
Sich allerliebste Mädchen hängen,
Wenn fern des schnellen Laufes Kranz
Vom schwer erreichten Ziele winket,
Wenn nach dem heftgen Wirbeltanz
Die Nächte schmausend man vertrinket.
Doch ins bekannte Saitenspiel
Mit Muth und Anmuth einzugreifen,
Nach einem selbgesteckten Ziel
Mit holdem Irren hinzuschweifen,
Das, alte Herrn, ist eure Pflicht,
Und wir verehren euch darum nicht minder.
Das Alter macht nicht kindisch, wie man spricht,
Es findet uns nur noch als wahre Kinder.
_Director._
Der Worte sind genug gewechselt,
Laßt mich auch endlich Thaten sehn;
Indeß ihr Complimente drechselt,
Kann etwas nützliches geschehn.
Was hilft es viel von Stimmung reden?
Dem Zaudernden erscheint sie nie.
Gebt ihr euch einmal für Poeten,
So kommandirt die Poesie.
Euch ist bekannt was wir bedürfen,
Wir wollen stark Getränke schlürfen;
Nun braut mir unverzüglich dran!
Was heute nicht geschieht, ist Morgen nicht gethan,
Und keinen Tag soll man verpassen,
Das Mögliche soll der Entschluß
Beherzt sogleich beym Schopfe fassen,
Er will es dann nicht fahren lassen,
Und wirket weiter, weil er muß.
    Ihr wißt, auf unsern deutschen Bühnen
Probirt ein jeder was er mag;
Drum schonet mir an diesem Tag
Prospecte nicht und nicht Maschinen.
Gebraucht das groß' und kleine Himmelslicht,
Die Sterne dürfet ihr verschwenden;
An Wasser, Feuer, Felsenwänden,
An Thier und Vögeln fehlt es nicht.
So schreitet in dem engen Breterhaus
Den ganzen Kreis der Schöpfung aus,
Und wandelt, mit bedächtger Schnelle,
Vom Himmel, durch die Welt, zur Hölle.
_Prolog_
_im Himmel._
_Der Herr, die himmlischen Heerscharen,_
nachher _Mephistopheles._
Die drey Erzengel treten vor.
_Raphael._
Die Sonne tönt, nach alter Weise,
In Brudersphären Wettgesang,
Und ihre vorgeschriebne Reise
Vollendet sie mit Donnergang.
Ihr Anblick giebt den Engeln Stärke,
Wenn keiner sie ergründen mag.
Die unbegreiflich hohen Werke
Sind herrlich wie am ersten Tag.
_Gabriel._
Und schnell und unbegreiflich schnelle
Dreht sich umher der Erde Pracht;
Es wechselt Paradieses-Helle
Mit tiefer schauervoller Nacht;
Es schäumt das Meer in breiten Flüssen
Am tiefen Grund der Felsen auf,
Und Fels und Meer wird fortgerissen
In ewig schnellem Sphärenlauf.
_Michael._
Und Stürme brausen um die Wette
Vom Meer aufs Land vom Land aufs Meer,
Und bilden wüthend eine Kette
Der tiefsten Wirkung rings umher.
Da flammt ein blitzendes Verheeren
Dem Pfade vor des Donnerschlags.
Doch deine Boten, Herr, verehren
Das sanfte Wandeln deines Tags.
_Zu Drey._
Der Anblick giebt den Engeln Stärke
Da keiner dich ergründen mag,
Und alle deine hohen Werke
Sind herrlich wie am ersten Tag.
_Mephistopheles._
Da du, o Herr, dich einmal wieder nahst
Und fragst wie alles sich bey uns befinde,
Und du mich sonst gewöhnlich gerne sahst;
So siehst du mich auch unter dem Gesinde.
Verzeih, ich kann nicht hohe Worte machen,
Und wenn mich auch der ganze Kreis verhöhnt;
Mein Pathos brächte dich gewiß zum lachen,
Hättst du dir nicht das Lachen abgewöhnt.
Von Sonn' und Welten weiß ich nichts zu sagen,
Ich sehe nur wie sich die Menschen plagen.
Der kleine Gott der Welt bleibt stets von gleichem Schlag,
Und ist so wunderlich als wie am ersten Tag.
Ein wenig besser würd' er leben,
Hättst du ihm nicht den Schein des Himmelslichts gegeben;
Er nennts Vernunft und braucht's allein
Nur thierischer als jedes Thier zu seyn.
Er scheint mir, mit Verlaub von Ew. Gnaden,
Wie eine der langbeinigen Cicaden,
Die immer fliegt und fliegend springt
Und gleich im Gras ihr altes Liedchen singt;
Und läg' er nur noch immer in dem Grase!
In jeden Quark begräbt er seine Nase.
_Der Herr._
Hast du mir weiter nichts zu sagen?
Kommst du nur immer anzuklagen?
Ist auf der Erde ewig dir nichts recht?
_Mephistopheles._
Nein Herr! ich find' es dort, wie immer, herzlich schlecht.
Die Menschen dauern mich in ihren Jammertagen,
Ich mag sogar die Armen selbst nicht plagen.
_Der Herr._
Kennst du den Faust?
_Mephistopheles._
                     Den Doctor?
_Der Herr._
                                 Meinen Knecht!
_Mephistopheles._
Fürwahr! er dient euch auf besondre Weise.
Nicht irdisch ist des Thoren Trank noch Speise.
Ihn treibt die Gährung in die Ferne,
Er ist sich seiner Tollheit halb bewußt;
Vom Himmel fordert er die schönsten Sterne,
Und von der Erde jede höchste Lust,
Und alle Näh' und alle Ferne
Befriedigt nicht die tiefbewegte Brust.
_Der Herr._
Wenn er mir jetzt auch nur verworren dient;
So werd' ich ihn bald in die Klarheit führen.
Weiß doch der Gärtner, wenn das Bäumchen grünt,
Daß Blüt' und Frucht die künft'gen Jahre zieren.
_Mephistopheles._
Was wettet ihr? den sollt ihr noch verlieren!
Wenn ihr mir die Erlaubniß gebt
Ihn meine Straße sacht zu führen.
_Der Herr._
So lang' er auf der Erde lebt,
So lange sey dir's nicht verboten.
Es irrt der Mensch so lang er strebt.
_Mephistopheles._
Da dank' ich euch; denn mit den Todten
Hab' ich mich niemals gern befangen.
An[Am] meisten lieb' ich mir die vollen frischen Wangen.
Für einen Leichnam bin ich nicht zu Haus;
Mir geht es wie der Katze mit der Maus.
_Der Herr._
Nun gut, es sey dir überlassen!
Zieh diesen Geist von seinem Urquell ab,
Und führ' ihn, kannst du ihn erfassen,
Auf deinem Wege mit herab,
Und steh' beschämt, wenn du bekennen mußt:
Ein guter Mensch, in seinem dunkeln Drange,
Ist sich des rechten Weges wohl bewußt.
_Mephistopheles._
Schon gut! nur dauert es nicht lange.
Mir ist für meine Wette gar nicht bange.
Wenn ich zu meinem Zweck gelange,
Erlaubt ihr mir Triumph aus voller Brust.
Staub soll er fressen, und mit Lust,
Wie meine Muhme, die berühmte Schlange.
_Der Herr._
Du darfst auch da nur frey erscheinen;
Ich habe deines gleichen nie gehaßt.
Von allen Geistern die verneinen
Ist mir der Schalk am wenigsten zur Last.
Des Menschen Thätigkeit kann allzuleicht erschlaffen,
Er liebt sich bald die unbedingte Ruh;
Drum geb' ich gern ihm den Gesellen zu,
Der reizt und wirkt, und muß, als Teufel, schaffen.
Doch ihr, die ächten Göttersöhne,
Erfreut euch der lebendig reichen Schöne!
Das Werdende, das ewig wirkt und lebt,
Umfaß' euch mit der Liebe holden Schranken,
Und was in schwankender Erscheinung schwebt,
Befestiget mit dauernden Gedanken.
Der Himmel schließt, die Erzengel vertheilen sich,
_Mephistopheles_ allein.
Von Zeit zu Zeit seh' ich den Alten gern,
Und hüte mich mit ihm zu brechen.
Es ist gar hübsch von einem großen Herrn
So menschlich mit dem Teufel selbst zu sprechen.
_Der Tragödie_
_Erster Theil._
_Nacht._
In einem hochgewölbten, engen, gothischen Zimmer _Faust_ unruhig auf
seinem Sessel am Pulte.
_Faust._
Habe nun, ach! Philosophie,
Juristerey und Medicin,
Und leider auch Theologie!
Durchaus studirt, mit heißem Bemühn.
Da steh' ich nun, ich armer Thor!
Und bin so klug als wie zuvor;
Heiße Magister, heiße Doctor gar,
Und ziehe schon an die zehen Jahr,
Herauf, herab und quer und krumm,
Meine Schüler an der Nase herum --
Und sehe, daß wir nichts wissen können!
Das will mir schier das Herz verbrennen.
Zwar bin ich gescheidter als alle die Laffen,
Doctoren, Magister, Schreiber und Pfaffen;
Mich plagen keine Scrupel noch Zweifel,
Fürchte mich weder vor Hölle noch Teufel --
Dafür ist mir auch alle Freud' entrissen,
Bilde mir nicht ein was rechts zu wissen,
Bilde mir nicht ein, ich könnte was lehren,
Die Menschen zu bessern und zu bekehren.
Auch hab' ich weder Gut noch Geld,
Noch Ehr' und Herrlichkeit der Welt.
Es möchte kein Hund so länger leben!
Drum hab' ich mich der Magie ergeben,
Ob mir durch Geistes Kraft und Mund
Nicht manch Geheimniß würde kund;
Daß ich nicht mehr mit sauerm Schweiß,
Zu sagen brauche, was ich nicht weiß;
Daß ich erkenne, was die Welt
Im Innersten zusammenhält,
Schau' alle Wirkenskraft und Samen,
Und thu' nicht mehr in Worten kramen.
    O sähst du, voller Mondenschein,
Zum letztenmal auf meine Pein,
Den ich so manche Mitternacht
An diesem Pult herangewacht:
Dann über Büchern und Papier,
Trübsel'ger Freund, erschienst du mir!
Ach! könnt' ich doch auf Berges-Höh'n,
In deinem lieben Lichte gehn,
Um Bergeshöle mit Geistern schweben,
Auf Wiesen in deinem Dämmer weben,
Von allem Wissensqualm entladen,
In deinem Thau gesund mich baden!
    Weh! steck' ich in dem Kerker noch?
Verfluchtes, dumpfes Mauerloch!
Wo selbst das liebe Himmelslicht
Trüb' durch gemahlte Scheiben bricht.
Beschränkt mit diesem Bücherhauf,
Den Würme nagen, Staub bedeckt,
Den, bis an's hohe Gewölb' hinauf,
Ein angeraucht Papier umsteckt;
Mit Gläsern, Büchsen rings umstellt,
Mit Instrumenten vollgepfropft,
Urväter Hausrath drein gestopft --
Das ist deine Welt! das heißt eine Welt!
    Und fragst du noch, warum dein Herz
Sich bang' in deinem Busen klemmt?
Warum ein unerklärter Schmerz
Dir alle Lebensregung hemmt?
Statt der lebendigen Natur,
Da Gott die Menschen schuf hinein,
Umgiebt in Rauch und Moder nur
Dich Thiergeripp' und Todtenbein.
    Flieh! auf! hinaus ins weite Land!
Und dieß geheimnißvolle Buch,
Von Nostradamus eigner Hand,
Ist dir es nicht Geleit genug?
Erkennest dann der Sterne Lauf,
Und wenn Natur dich unterweist,
Dann geht die Seelenkraft dir auf,
Wie spricht ein Geist zum andern Geist.
Umsonst, daß trocknes Sinnen hier
Die heil'gen Zeichen dir erklärt,
Ihr schwebt, ihr Geister, neben mir,
Antwortet mir, wenn ihr mich hört!
(Er schlägt das Buch auf und erblickt das Zeichen des Makrokosmus.)
Ha! welche Wonne fließt in diesem Blick
Auf einmal mir durch alle meine Sinnen!
Ich fühle junges, heil'ges Lebensglück
Neuglühend mir durch Nerv' und Adern rinnen.
War es ein Gott, der diese Zeichen schrieb?
Die mir das innre Toben stillen,
Das arme Herz mit Freude füllen,
Und mit geheimnißvollem Trieb,
Die Kräfte der Natur rings um mich her enthüllen.
Bin ich ein Gott? Mir wird so licht!
Ich schau' in diesen reinen Zügen
Die wirkende Natur vor meiner Seele liegen.
Jetzt erst erkenn' ich was der Weise spricht:
»Die Geisterwelt ist nicht verschlossen;
»Dein Sinn ist zu, dein Herz ist todt!
»Auf bade, Schüler, unverdrossen,
»Die ird'sche Brust im Morgenroth!«
(Er beschaut das Zeichen.)
Wie alles sich zum Ganzen webt,
Eins in dem andern wirkt und lebt!
Wie Himmelskräfte auf und nieder steigen
Und sich die goldnen Eimer reichen!
Mit segenduftenden Schwingen
Vom Himmel durch die Erde dringen,
Harmonisch all' das All durchklingen!
    Welch Schauspiel! aber ach! ein Schauspiel nur!
Wo faß' ich dich, unendliche Natur?
Euch Brüste, wo? Ihr Quellen alles Lebens,
An denen Himmel und Erde hängt,
Dahin die welke Brust sich drängt --
Ihr quellt, ihr tränkt, und schmacht' ich so vergebens?
(Er schlägt unwillig das Buch um, und erblickt das Zeichen des
Erdgeistes.)
Wie anders wirkt dieß Zeichen auf mich ein!
Du, Geist der Erde, bist mir näher;
Schon fühl' ich meine Kräfte höher,
Schon glüh' ich wie von neuem Wein,
Ich fühle Muth, mich in die Welt zu wagen,
Der Erde Weh, der Erde Glück zu tragen,
Mit Stürmen mich herumzuschlagen,
Und in des Schiffbruchs Knirschen nicht zu zagen,
Es wölkt sich über mir --
Der Mond verbirgt sein Licht --
Die Lampe schwindet!
Es dampft! -- Es zucken rothe Strahlen
Mir um das Haupt -- Es weht
Ein Schauer vom Gewölb' herab
Und faßt mich an!
Ich fühl's, du schwebst um mich, erflehter Geist.
Enthülle dich!
Ha! wie's in meinem Herzen reißt!
Zu neuen Gefühlen
All' meine Sinnen sich erwühlen!
Ich fühle ganz mein Herz dir hingegeben!
Du mußt! du mußt! und kostet' es mein Leben!
(Er faßt das Buch und spricht das Zeichen des Geistes geheimnißvoll aus.
Es zuckt eine röthliche Flamme, _der Geist_ erscheint in der Flamme.)
_Geist._
Wer ruft mir?
_Faust_ abgewendet.
              Schreckliches Gesicht!
_Geist._
Du hast mich mächtig angezogen,
An meiner Sphäre lang' gesogen,
Und nun --
_Faust._
          Weh! ich ertrag' dich nicht!
_Geist._
Du flehst erathmend mich zu schauen,
Meine Stimme zu hören, mein Antlitz zu sehn,
Mich neigt dein mächtig Seelenflehn,
Da bin ich! -- Welch erbärmlich Grauen
Faßt Uebermenschen dich! Wo ist der Seele Ruf?
Wo ist die Brust? die eine Welt in sich erschuf,
Und trug und hegte; die mit Freudebeben
Erschwoll, sich uns, den Geistern, gleich zu heben.
Wo bist du, Faust? deß Stimme mir erklang,
Der sich an mich mit allen Kräften drang?
Bist _Du_ es? der, von meinem Hauch umwittert,
In allen Lebenstiefen zittert,
Ein furchtsam weggekrümmter Wurm!
_Faust._
Soll ich dir, Flammenbildung, weichen?
Ich bin's, bin Faust, bin deines gleichen!
_Geist._
In Lebensfluthen, im Thatensturm
Wall' ich auf und ab,
Webe hin und her!
Geburt und Grab,
Ein ewiges Meer,
Ein wechselnd Weben,
Ein glühend Leben,
So schaff' ich am sausenden Webstuhl der Zeit,
Und wirke der Gottheit lebendiges Kleid.
_Faust._
Der du die weite Welt umschweifst,
Geschäftiger Geist, wie nah fühl' ich mich dir!
_Geist._
Du gleichst dem Geist, den du begreifst,
Nicht mir!
(Verschwindet.)
_Faust_ zusammenstürzend.
Nicht dir!
Wem denn?
Ich Ebenbild der Gottheit!
Und nicht einmal dir!
(Es klopft.)
O Tod! ich kenn's -- das ist mein Famulus --
Es wird mein schönstes Glück zu nichte!
Daß diese Fülle der Gesichte
Der trockne Schleicher stören muß!
(_Wagner_ im Schlafrocke und der Nachtmütze, eine Lampe
in der Hand. Faust wendet sich unwillig.)
_Wagner._
Verzeiht! ich hör' euch declamiren;
Ihr las't gewiß ein griechisch Trauerspiel?
In dieser Kunst möcht' ich 'was profitiren,
Denn heut zu Tage wirkt das viel.
Ich hab' es öfters rühmen hören,
Ein Komödiant könnt' einen Pfarrer lehren.
_Faust._
Ja, wenn der Pfarrer ein Komödiant ist;
Wie das denn wohl zu Zeiten kommen mag.
_Wagner._
Ach! wenn man so in sein Museum gebannt ist,
Und sieht die Welt kaum einen Feyertag,
Kaum durch ein Fernglas, nur von weiten,
Wie soll man sie durch Ueberredung leiten?
_Faust._
Wenn ihr's nicht fühlt, ihr werdet's nicht erjagen,
Wenn es nicht aus der Seele dringt,
Und mit urkräftigem Behagen
Die Herzen aller Hörer zwingt.
Sitzt ihr nur immer! leimt zusammen,
Braut ein Ragout von andrer Schmaus,
Und blas't die kümmerlichen Flammen
Aus eurem Aschenhäufchen 'raus!
Bewund'rung von Kindern und Affen,
Wenn euch darnach der Gaumen steht;
Doch werdet ihr nie Herz zu Herzen schaffen,
Wenn es euch nicht von Herzen geht.
_Wagner._
Allein der Vortrag macht des Redners Glück;
Ich fühl' es wohl, noch bin ich weit zurück.
_Faust._
Such' Er den redlichen Gewinn!
Sey er kein schellenlauter Thor!
Es trägt Verstand und rechter Sinn
Mit wenig Kunst sich selber vor;
Und wenn's euch Ernst ist was zu sagen,
Ist's nöthig Worten nachzujagen?
Ja, eure Reden, die so blinkend sind,
In denen ihr der Menschheit Schnitzel kräuselt,
Sind unerquicklich wie der Nebelwind,
Der herbstlich durch die dürren Blätter säuselt!
_Wagner._
Ach Gott! die Kunst ist lang;
Und kurz ist unser Leben.
Mir wird, bey meinem kritischen Bestreben,
Doch oft um Kopf und Busen bang'.
Wie schwer sind nicht die Mittel zu erwerben,
Durch die man zu den Quellen steigt!
Und eh' man nur den halben Weg erreicht,
Muß wohl ein armer Teufel sterben.
_Faust._
Das Pergament, ist das der heilge Bronnen,
Woraus ein Trunk den Durst auf ewig stillt?
Erquickung hast du nicht gewonnen,
Wenn sie dir nicht aus eigner Seele quillt.
_Wagner._
Verzeiht! es ist ein groß Ergetzen,
Sich in den Geist der Zeiten zu versetzen;
Zu schauen, wie vor uns ein weiser Mann gedacht,
Und wie wir's dann zuletzt so herrlich weit gebracht.
_Faust._
O ja, bis an die Sterne weit!
Mein Freund, die Zeiten der Vergangenheit
Sind uns ein Buch mit sieben Siegeln.
Was ihr den Geist der Zeiten heißt,
Das ist im Grund der Herren eigner Geist,
In dem die Zeiten sich bespiegeln.
Da ist's dann wahrlich oft ein Jammer!
Man läuft euch bey dem ersten Blick davon.
Ein Kehrichtfaß und eine Rumpelkammer,
Und höchstens eine Haupt- und Staatsaction,
Mit trefflichen, pragmatischen Maximen,
Wie sie den Puppen wohl im Munde ziemen!
_Wagner._
Allein die Welt! des Menschen Herz und Geist!
Möcht' jeglicher doch was davon erkennen.
_Faust._
Ja was man so erkennen heißt!
Wer darf das Kind beym rechten Namen nennen?
Die wenigen, die was davon erkannt,
Die thöricht g'nug ihr volles Herz nicht wahrten,
Dem Pöbel ihr Gefühl, ihr Schauen offenbarten,
Hat man von je gekreutzigt und verbrannt.
Ich bitt' euch, Freund, es ist tief in der Nacht,
Wir müssen's dießmal unterbrechen.
_Wagner._
Ich hätte gern nur immer fortgewacht,
Um so gelehrt mit euch mich zu besprechen.
Doch Morgen, als am ersten Ostertage,
Erlaubt mir ein' und andre Frage.
Mit Eifer hab' ich mich der Studien beflissen,
Zwar weiß ich viel, doch möcht' ich alles wissen.
(ab.)
_Faust_ allein.
Wie nur dem Kopf nicht alle Hoffnung schwindet,
Der immerfort an schalem Zeuge klebt,
Mit gier'ger Hand nach Schätzen gräbt,
Und froh ist, wenn er Regenwürmer findet!
    Darf eine solche Menschenstimme hier,
Wo Geisterfülle mich umgab, ertönen?
Doch ach! für dießmal dank' ich dir,
Dem ärmlichsten von allen Erdensöhnen.
Du rissest mich von der Verzweiflung los,
Die mir die Sinne schon zerstören wollte.
Ach! die Erscheinung war so Riesen-groß,
Daß ich mich recht als Zwerg empfinden sollte.
    Ich, Ebenbild der Gottheit, das sich schon
Ganz nah gedünkt dem Spiegel ew'ger Wahrheit,
Sein selbst genoß, in Himmelsglanz und Klarheit,
Und abgestreift den Erdensohn;
Ich, mehr als Cherub, dessen freye Kraft
Schon durch die Adern der Natur zu fließen
Und, schaffend, Götterleben zu genießen
Sich ahndungsvoll vermaß, wie muß ich's büßen!
Ein Donnerwort hat mich hinweggerafft.
    Nicht darf ich dir zu gleichen mich vermessen.
Hab' ich die Kraft dich anzuziehn besessen;
So hatt' ich dich zu halten keine Kraft.
In jenem sel'gen Augenblicke
Ich fühlte mich so klein, so groß,
Du stießest grausam mich zurücke,
Ins ungewisse Menschenloos.
Wer lehret mich? was soll ich meiden?
Soll ich gehorchen jenem Drang?
Ach! unsre Thaten selbst, so gut als unsre Leiden,
Sie hemmen unsres Lebens Gang.
    Dem herrlichsten, was auch der Geist empfangen,
Drängt immer fremd und fremder Stoff sich an;
Wenn wir zum Guten dieser Welt gelangen,
Dann heißt das Beßre Trug und Wahn.
Die uns das Leben gaben, herrliche Gefühle
Erstarren in dem irdischen Gewühle.
    Wenn Phantasie sich sonst, mit kühnem Flug,
Und hoffnungsvoll zum Ewigen erweitert,
So ist ein kleiner Raum ihr nun genug,
Wenn Glück auf Glück im Zeitenstrudel scheitert.
Die Sorge nistet gleich im tiefen Herzen,
Dort wirket sie geheime Schmerzen,
Unruhig wiegt sie sich und störet Lust und Ruh;
Sie deckt sich stets mit neuen Masken zu,
Sie mag als Haus und Hof, als Weib und Kind erscheinen,
Als Feuer, Wasser, Dolch und Gift;
Du bebst vor allem was nicht trifft,
Und was du nie verlierst das mußt du stets beweinen.
    Den Göttern gleich' ich nicht! zu tief ist es gefühlt;
Dem Wurme gleich' ich, der den Staub durchwühlt;
Den, wie er sich im Staube nährend lebt,
Des Wandrers Tritt vernichtet und begräbt.
    Ist es nicht Staub? was diese hohe Wand,
Aus hundert Fächern, mir verenget;
Der Trödel, der mit tausendfachem Tand,
In dieser Mottenwelt mich dränget?
Hier soll ich finden was mir fehlt?
Soll ich vielleicht in tausend Büchern lesen,
Daß überall die Menschen sich gequält,
Daß hie und da ein Glücklicher gewesen? --
Was grinsest du mir hohler Schädel her?
Als daß dein Hirn, wie meines, einst verwirret,
Den leichten Tag gesucht und in der Dämmrung schwer,
Mit Lust nach Wahrheit, jämmerlich geirret.
Ihr Instrumente freylich, spottet mein,
Mit Rad und Kämmen, Walz' und Bügel.
Ich stand am Thor, ihr solltet Schlüssel seyn;
Zwar euer Bart ist kraus, doch hebt ihr nicht die Riegel.
Geheimnißvoll am lichten Tag
Läßt sich Natur des Schleyers nicht berauben,
Und was sie deinem Geist nicht offenbaren mag,
Das zwingst du ihr nicht ab mit Hebeln und mit Schrauben.
Du alt Geräthe das ich nicht gebraucht,
Du stehst nur hier, weil dich mein Vater brauchte.
Du alte Rolle, du wirst angeraucht,
So lang an diesem Pult die trübe Lampe schmauchte.
Weit besser hätt' ich doch mein weniges verpraßt,
Als mit dem wenigen belastet hier zu schwitzen!
Was du ererbt von deinen Vätern hast
Erwirb es, um es zu besitzen.
Was man nicht nützt ist eine schwere Last,
Nur was der Augenblick erschafft, das kann er nützen.
    Doch warum heftet sich mein Blick auf jene Stelle?
Ist jenes Fläschchen dort den Augen ein Magnet?
Warum wird mir auf einmal lieblich helle?
Als wenn im nächt'gen Wald uns Mondenglanz umweht.
    Ich grüße dich, du einzige Phiole!
Die ich mit Andacht nun herunterhole,
In dir verehr' ich Menschenwitz und Kunst.
Du Inbegriff der holden Schlummersäfte,
Du Auszug aller tödlich feinen Kräfte,
Erweise deinem Meister deine Gunst!
Ich sehe dich, es wird der Schmerz gelindert,
Ich fasse dich, das Streben wird gemindert,
Des Geistes Fluthstrom ebbet nach und nach.
Ins hohe Meer werd' ich hinausgewiesen,
Die Spiegelfluth erglänzt zu meinen Füßen,
Zu neuen Ufern lockt ein neuer Tag.
    Ein Feuerwagen schwebt, auf leichten Schwingen,
An mich heran! Ich fühle mich bereit
Auf neuer Bahn den Aether zu durchdringen,
Zu neuen Sphären reiner Thätigkeit.
Dieß hohe Leben, diese Götterwonne!
Du, erst noch Wurm, und die verdienest du?
Ja, kehre nur der holden Erdensonne
Entschlossen deinen Rücken zu!
Vermesse dich die Pforten aufzureißen,
Vor denen jeder gern vorüber schleicht.
Hier ist es Zeit durch Thaten zu beweisen,
Daß Mannes-Würde nicht der Götterhöhe weicht,
Vor jener dunkeln Höhle nicht zu beben,
In der sich Phantasie zu eigner Quaal verdammt,
Nach jenem Durchgang hinzustreben,
Um dessen engen Mund die ganze Hölle flammt;
Zu diesem Schritt sich heiter zu entschließen
Und, wär' es mit Gefahr, ins Nichts dahin zu fließen.
    Nun komm herab, krystallne reine Schaale!
Hervor aus deinem alten Futterale,
An die ich viele Jahre nicht gedacht.
Du glänztest bey der Väter Freudenfeste,
Erheitertest die ernsten Gäste,
Wenn einer dich dem andern zugebracht.
Der vielen Bilder künstlich reiche Pracht,
Des Trinkers Pflicht, sie reimweis zu erklären,
Auf Einen Zug die Höhlung auszuleeren,
Erinnert mich an manche Jugend-Nacht,
Ich werde jetzt dich keinem Nachbar reichen,
Ich werde meinen Witz an deiner Kunst nicht zeigen,
Hier ist ein Saft, der eilig trunken macht.
Mit brauner Flut erfüllt er deine Höhle.
Den ich bereitet, den ich wähle,
Der letzte Trunk sey nun, mit ganzer Seele,
Als festlich hoher Gruß, dem Morgen zugebracht!
(Er setzt die Schaale an den Mund.)
_Glockenklang_ und _Chorgesang._
_Chor der Engel._
          Christ ist erstanden!
        Freude dem Sterblichen,
        Den die verderblichen,
        Schleichenden, erblichen
        Mängel umwanden.
_Faust._
Welch tiefes Summen, welch ein heller Ton,
Zieht mit Gewalt das Glas von meinem Munde?
Verkündiget ihr dumpfen Glocken schon
Des Osterfestes erste Feyerstunde?
Ihr Chöre singt ihr schon den tröstlichen Gesang?
Der einst, um Grabes Nacht, von Engelslippen klang,
Gewißheit einem neuen Bunde.
_Chor der Weiber._
        Mit Spezereyen
        Hatten wir ihn gepflegt,
        Wir seine Treuen
        Hatten ihn hingelegt;</t>
  </si>
  <si>
    <t>The Project Gutenberg eBook of Candide, ou l'optimisme
This ebook is for the use of anyone anywhere in the United States and
most other parts of the world at no cost and with almost no restrictions
whatsoever. You may copy it, give it away or re-use it under the terms
of the Project Gutenberg License included with this ebook or online
at www.gutenberg.org. If you are not located in the United States,
you will have to check the laws of the country where you are located
before using this eBook.
Title: Candide, ou l'optimisme
Author: Voltaire
Release date: November 1, 2003 [eBook #4650]
                Most recently updated: November 17, 2022
Language: French
Credits: Carlo Traverso
*** START OF THE PROJECT GUTENBERG EBOOK CANDIDE, OU L'OPTIMISME ***
OEUVRES
DE
VOLTAIRE.
TOME XXXIII
DE L’ IMPRIMERIE DE A. FIRMIN DIDOT,
RUE JACOB, Nº 24.
OEUVRES
DE
VOLTAIRE
PRÉFACES, AVERTISSEMENTS, NOTES, ETC.
PAR M. BEUCHOT.
TOME XXXIII.
ROMANS. TOME I.
A PARIS,
CHEZ LEFÈVRE, LIBRAIRE,
RUE DE L’ÉPERON, Kº 6. WERDET ET LEQUIEN FILS,
RUE DU BATTOIR, Nº 20.
MDCCCXXIX.
CANDIDE,
OU L’OPTIMISME
 Préface de l’Éditeur
 CHAPITRE I. Comment Candide fut élevé dans un beau château, et comment il fut chassé d’icelui.
 CHAPITRE II Ce que devint Candide parmi les Bulgares.
 CHAPITRE III. Comment Candide se sauva d’entre les Bulgares, et ce qu’il devint.
 CHAPITRE IV. Comment Candide rencontra son ancien maître de philosophie, le docteur Pangloss, et ce qui en advint.
 CHAPITRE V. Tempête, naufrage, tremblement de terre, et ce qui advint du docteur Pangloss, de Candide, et de l’anabaptiste Jacques.
 CHAPITRE VI. Comment on fit un bel auto-da-fé pour empêcher les tremblements de terre, et comment Candide fut fessé.
 CHAPITRE VII Comment une vieille prit soin de Candide, et comment il retrouva ce qu’il aimait.
 CHAPITRE VIII. Histoire de Cunégonde.
 CHAPITRE IX. Ce qui advint de Cunégonde, de Candide, du grand-inquisiteur, et d’un Juif.
 CHAPITRE X. Dans quelle détresse Candide, Cunégonde, et la vieille, arrivent à Cadix, et leur embarquement.
 CHAPITRE XI. Histoire de la vieille.
 CHAPITRE XII. Suite des malheurs de la vieille.
 CHAPITRE XIII. Comment Candide fut obligé de se séparer de la belle Cunégonde et de la vieille.
 CHAPITRE XIV. Comment Candide et Cacambo furent reçus chez les jésuites du Paraguai.
 CHAPITRE XV. Comment Candide tua le frère de sa chère Cunégonde.
 CHAPITRE XVI. Ce qui advint aux deux voyageurs avec deux filles, deux singes, et les sauvages nommés Oreillons.
 CHAPITRE XVII. Arrivée de Candide et de son valet au pays d’Eldorado, et ce qu’ils y virent.
 CHAPITRE XVIII Ce qu’ils virent dans le pays d’Eldorado[1].
 CHAPITRE XIX. Ce qui leur arriva à Surinam, et comment Candide fit connaissance avec Martin.
 CHAPITRE XX. Ce qui arriva sur mer à Candide et à Martin.
 CHAPITRE XXI. Candide et Martin approchent des côtes de France, et raisonnent.
 CHAPITRE XXII[1]. Ce qui arriva en France à Candide et à Martin.
 CHAPITRE XXIII. Candide et Martin vont sur les côtes d’Angleterre; ce qu’ils y voient.
 CHAPITRE XXIV. De Paquette, et de frère Giroflée.
 CHAPITRE XXV. Visite chez le seigneur Pococurante, noble vénitien.
 CHAPITRE XXVI. D’un souper que Candide et Martin firent avec six étrangers, et qui ils étaient.
 CHAPITRE XXVII. Voyage de Candide à Constantinople.
 CHAPITRE XXVIII. Ce qui arriva à Candide, à Cunégonde, à Pangloss, à Martin, etc.
 CHAPITRE XXIX. Comment Candide retrouva Cunégonde et la vieille.
 CHAPITRE XXX. Conclusion.
Préface de l’Éditeur
_Candide_ parut au plus tard en mars 1759. Le roi de Prusse en accuse
réception par sa lettre du 28 du mois d’avril.
Voltaire en avait envoyé le manuscrit à la duchesse de La Vallière, qui
lui fit répondre qu’il aurait pu se passer d’y mettre tant
d’indécences, et qu’un écrivain tel que lui n’avait pas besoin d’avoir
recours à cette ressource pour se procurer des lecteurs.
Beaucoup d’autres personnes furent scandalisées de _Candide_, et
Voltaire désavoua cet ouvrage, qu’il appelle lui-même une coïonnerie.
Il ne faut pas, au reste, prendre à la lettre son titre d’optimisme.
L’optimisme, dit-il ailleurs[1], n’est qu’une fatalité désespérante.
[1] _Homélie sur l’athéisme_. Voyez les _Mélanges_, année 1767; et
aussi, tome XII, une des notes du troisième _Discours sur l’homme_.
Voltaire écrivit, sous le nom de Mead, une lettre relative à Candide,
qui fut insérée dans le _Journal encyclopédique_, du 15 juillet 1759:
on la trouvera dans les Mélanges, à cette date.
C’est à Thorel de Campigneulles, mort en 1809, qu’on attribue une
_Seconde partie de Candide_, publiée en 1761, et plusieurs fois
réimprimée à la suite de l’ouvrage de Voltaire, comme étant de lui. On
l’a même admise dans une édition intitulée: _Collection complète des
Oeuvres de M, de Voltaire, 1764, in-12_. L’édition de Candide, 1778,
avec des figures dessinées et gravées par Daniel Chodowicky, contient
les deux parties.
Le _Remercîment de Candide à M. de Voltaire_ (par Marconnay) est de
1760.
Linguet publia, en 1766, la _Cacomonade, histoire politique et morale,
traduite de l’allemand, du docteur Pangloss, par le docteur lui-même,
depuis son retour de Constantinople_, 1766, in-12; nouvelle édition,
augmentée d’une lettre du même auteur, 1766, in-12. Un arrêt de la cour
royale de Paris, du 16 novembre 1822 (inséré dans le _Moniteur_ du 26
mars 1825), ordonne la destruction de la _Canonnade, ou Histoire du Mal
de Naples, par Linguet_. Ce n’est pas la première fois que les ouvrages
condamnés sont mal désignés dans les jugements. L’arrêt de la cour du
parlement, du 6 août 1761, ordonne de lacérer et brûler le tome XIII du
Commentaire de Salmeron, qui n’a que quatre volumes.
_Candide en Danemarck, ou l’Optimisme des honnêtes gens_, est d’un
auteur qu’on ne connaît pas.
_Antoine Bernard et Rosalie, ou le Petit Candide_, a paru en 1796, un
volume in-i8.
Le _Voyage de Candide fils au pays d’Eldorado, vers la fin du
dix-huitième siècle, pour servir de suite aux aventures de M. son
père_, an XI-1803, a deux volumes in-8º.
Le chapitre XXVI de _Candide_ a été imité, en 1815, par Lemontey, dans
un article intitulé: _Le Carnaval de Vénise_. J’ai renoncé à reproduire
ce petit morceau, lorsque j’ai vu l’annonce des _Oeuvres de Lemonley_,
où sans doute on le trouvera.
J.-J. Rousseau prétendait[2] que c’est sa _Lettre sur la Providence_
qui a donné naissance à _Candide_; _Candide en est la réponse_.
Voltaire en avait fait _une de deux pages où il bat la campagne, et
Candide parut dix mois après_.
[2] Lettre de J. J. Rousseau au prince de Wirtemberg, du 11 mars 1764.
Ce que Rousseau appelle sa _Lettre sur la Providence_, est sa lettre à
Voltaire du 18 août 1756; la réponse de Voltaire est du 21 septembre
1766; Candide ne vit le jour que vingt-sept à vingt-neuf mois plus
tard.
———
Les notes sans signature, et qui sont indiquées par des lettres, sont
de Voltaire.
Les notes signées d’un K sont des éditeurs de Kehl, MM. Condorcet et
Decroix. Il est impossible de faire rigoureusement la part de chacun.
Les additions que j’ai faites aux notes de Voltaire ou aux notes des
éditeurs de Kehl, en sont séparées par un—, et sont, comme mes notes,
signées de l’initiale de mon nom.
BEUCHOT.
4 octobre 1829.
CANDIDE,
ou
L’OPTIMISME,
TRADUIT DE L’ALLEMAND
DE M. LE DOCTEUR RALPH,
AVEC LES ADDITIONS
QU’ON A TROUVÉES DANS LA POCHE DU DOCTEUR, LORSQU’IL MOURUT
À MINDEN, L’AN DE GRÂCE 1759
1759
CHAPITRE I.
Comment Candide fut élevé dans un beau château, et comment il fut
chassé d’icelui.
Il y avait en Vestphalie, dans le château de M. le baron de
Thunder-ten-tronckh, un jeune garçon à qui la nature avait donné les
moeurs les plus douces. Sa physionomie annonçait son âme. Il avait le
jugement assez droit, avec l’esprit le plus simple; c’est, je crois,
pour cette raison qu’on le nommait Candide. Les anciens domestiques de
la maison soupçonnaient qu’il était fils de la soeur de monsieur le
baron et d’un bon et honnête gentilhomme du voisinage, que cette
demoiselle ne voulut jamais épouser parce qu’il n’avait pu prouver que
soixante et onze quartiers, et que le reste de son arbre généalogique
avait été perdu par l’injure du temps.
Monsieur le baron était un des plus puissants seigneurs de la
Westphalie, car son château avait une porte et des fenêtres. Sa grande
salle même était ornée d’une tapisserie. Tous les chiens de ses
basses-cours composaient une meute dans le besoin; ses palefreniers
étaient ses piqueurs; le vicaire du village était son grand-aumônier.
Ils l’appelaient tous monseigneur, et ils riaient quand il fesait des
contes.
Madame la baronne, qui pesait environ trois cent cinquante livres,
s’attirait par là une très grande considération, et fesait les honneurs
de la maison avec une dignité qui la rendait encore plus respectable.
Sa fille Cunégonde, âgée de dix-sept ans, était haute en couleur,
fraîche, grasse, appétissante. Le fils du baron paraissait en tout
digne de son père. Le précepteur Pangloss[1] était l’oracle de la
maison, et le petit Candide écoutait ses leçons avec toute la bonne foi
de son âge et de son caractère.
[1] De _pan_, tout, et _glossa_, langue. B.
Pangloss enseignait la métaphysico-théologo-cosmolonigologie. Il
prouvait admirablement qu’il n’y a point d’effet sans cause, et que,
dans ce meilleur des mondes possibles, le château de monseigneur le
baron était le plus beau des châteaux, et madame la meilleure des
baronnes possibles.
Il est démontré, disait-il, que les choses ne peuvent être autrement;
car tout étant fait pour une fin, tout est nécessairement pour la
meilleure fin. Remarquez bien que les nez ont été faits pour porter des
lunettes; aussi avons-nous des lunettes[2]. Les jambes sont visiblement
instituées pour être chaussées, et nous avons des chausses. Les pierres
ont été formées pour être taillées et pour en faire des châteaux; aussi
monseigneur a un très beau château: le plus grand baron de la province
doit être le mieux logé; et les cochons étant faits pour être mangés,
nous mangeons du porc toute l’année: par conséquent, ceux qui ont
avancé que tout est bien ont dit une sottise; il fallait dire que tout
est au mieux.
[2] Voyez tome XXVII, page 528; et dans les _Mélanges_, année 1738, le
chapitre XI de la troisième partie des _Éléments de la philosophie de
Newton_; et année 1768, le chapitre X des _Singularités de la nature_.
B.
Candide écoutait attentivement, et croyait innocemment; car il trouvait
mademoiselle Cunégonde extrêmement belle, quoiqu’il ne prît jamais la
hardiesse de le lui dire. Il concluait qu’après le bonheur d’être né
baron de Thunder-ten-tronckh, le second degré de bonheur était d’être
mademoiselle Cunégonde; le troisième, de la voir tous les jours; et le
quatrième, d’entendre maître Pangloss, le plus grand philosophe de la
province, et par conséquent de toute la terre.
Un jour Cunégonde, en se promenant auprès du château, dans le petit
bois qu’on appelait parc, vit entre des broussailles le docteur
Pangloss qui donnait une leçon de physique expérimentale à la femme de
chambre de sa mère, petite brune très jolie et très docile. Comme
mademoiselle Cunégonde avait beaucoup de disposition pour les sciences,
elle observa, sans souffler, les expériences réitérées dont elle fut
témoin; elle vit clairement la raison suffisante du docteur, les effets
et les causes, et s’en retourna tout agitée, toute pensive, toute
remplie du désir d’être savante, songeant qu’elle pourrait bien être la
raison suffisante du jeune Candide, qui pouvait aussi être la sienne.
Elle rencontra Candide en revenant au château, et rougit: Candide
rougit aussi. Elle lui dit bonjour d’une voix entrecoupée; et Candide
lui parla sans savoir ce qu’il disait. Le lendemain, après le dîner,
comme on sortait de table, Cunégonde et Candide se trouvèrent derrière
un paravent; Cunégonde laissa tomber son mouchoir, Candide le ramassa;
elle lui prit innocemment la main; le jeune homme baisa innocemment la
main de la jeune demoiselle avec une vivacité, une sensibilité, une
grâce toute particulière; leurs bouches se rencontrèrent, leurs yeux
s’enflammèrent, leurs genoux tremblèrent, leurs mains s’égarèrent. M.
le baron de Thunder-ten-tronckh passa auprès du paravent, et voyant
cette cause et cet effet, chassa Candide du château à grands coups de
pied dans le derrière. Cunégonde s’évanouit: elle fut souffletée par
madame la baronne dès qu’elle fut revenue à elle-même; et tout fut
consterné dans le plus beau et le plus agréable des châteaux possibles.
CHAPITRE II
Ce que devint Candide parmi les Bulgares.
Candide, chassé du paradis terrestre, marcha longtemps sans savoir où,
pleurant, levant les yeux au ciel, les tournant souvent vers le plus
beau des châteaux qui renfermait la plus belle des baronnettes; il se
coucha sans souper au milieu des champs entre deux sillons; la neige
tombait à gros flocons. Candide, tout transi, se traîna le lendemain
vers la ville voisine, qui s’appelle _Valdberghoff-trarbk-dikdorff_,
n’ayant point d’argent, mourant de faim et de lassitude. Il s’arrêta
tristement à la porte d’un cabaret. Deux hommes habillés de bleu le
remarquèrent: Camarade, dit l’un, voilà un jeune homme très bien fait,
et qui a la taille requise; ils s’avancèrent vers Candide et le
prièrent à dîner très civilement.—Messieurs, leur dit Candide avec une
modestie charmante, vous me faites beaucoup d’honneur, mais je n’ai pas
de quoi payer mon écot.—Ah! monsieur, lui dit un des bleus, les
personnes de votre figure et de votre mérite ne paient jamais rien:
n’avez-vous pas cinq pieds cinq pouces de haut?—Oui, messieurs, c’est
ma taille, dit-il en fesant la révérence.—Ah! monsieur, mettez-vous à
table; non seulement nous vous défraierons, mais nous ne souffrirons
jamais qu’un homme comme vous manque d’argent; les hommes ne sont faits
que pour se secourir les uns les autres.—Vous avez raison, dit Candide;
c’est ce que M. Pangloss m’a toujours dit, et je vois bien que tout est
au mieux. On le prie d’accepter quelques écus, il les prend et veut
faire son billet; on n’en veut point, on se met à table. N’aimez-vous
pas tendrement?….—Oh! oui, répond-il, j’aime tendrement mademoiselle
Cunégonde.—Non, dit l’un de ces messieurs, nous vous demandons si vous
n’aimez pas tendrement le roi des Bulgares?—Point du tout, dit-il, car
je ne l’ai jamais vu.—Comment! c’est le plus charmant des rois, et il
faut boire à sa santé.—Oh! très volontiers, messieurs. Et il boit. C’en
est assez, lui dit-on, vous voilà l’appui, le soutien, le défenseur, le
héros des Bulgares; votre fortune est faite, et votre gloire est
assurée. On lui met sur-le-champ les fers aux pieds, et on le mène au
régiment. On le fait tourner à droite, à gauche, hausser la baguette,
remettre la baguette, coucher en joue, tirer, doubler le pas, et on lui
donne trente coups de bâton; le lendemain, il fait l’exercice un peu
moins mal, et il ne reçoit que vingt coups; le surlendemain, on ne lui
en donne que dix, et il est regardé par ses camarades comme un prodige.
Candide, tout stupéfait, ne démêlait pas encore trop bien comment il
était un héros. Il s’avisa un beau jour de printemps de s’aller
promener, marchant tout droit devant lui, croyant que c’était un
privilège de l’espèce humaine, comme de l’espèce animale, de se servir
de ses jambes à son plaisir. Il n’eut pas fait deux lieues que voilà
quatre autres héros de six pieds qui l’atteignent, qui le lient, qui le
mènent dans un cachot. On lui demanda juridiquement ce qu’il aimait le
mieux d’être fustigé trente-six fois par tout le régiment, ou de
recevoir à-la-fois douze balles de plomb dans la cervelle. Il eut beau
dire que les volontés sont libres, et qu’il ne voulait ni l’un ni
l’autre, il fallut faire un choix; il se détermina, en vertu du don de
Dieu qu’on nomme _liberté_, à passer trente-six fois par les baguettes;
il essuya deux promenades. Le régiment était composé de deux mille
hommes; cela lui composa quatre mille coups de baguette, qui, depuis la
nuque du cou jusqu’au cul, lui découvrirent les muscles et les nerfs.
Comme on allait procéder à la troisième course, Candide, n’en pouvant
plus, demanda en grâce qu’on voulût bien avoir la bonté de lui casser
la tête; il obtint cette faveur; on lui bande les yeux; on le fait
mettre à genoux. Le roi des Bulgares passe dans ce moment, s’informe du
crime du patient; et comme ce roi avait un grand génie, il comprit, par
tout ce qu’il apprit de Candide, que c’était un jeune métaphysicien
fort ignorant des choses de ce monde, et il lui accorda sa grâce avec
une clémence qui sera louée dans tous les journaux et dans tous les
siècles. Un brave chirurgien guérit Candide en trois semaines avec les
émollients enseignés par Dioscoride. Il avait déjà un peu de peau et
pouvait marcher, quand le roi des Bulgares livra bataille au roi des
Abares.
CHAPITRE III.
Comment Candide se sauva d’entre les Bulgares, et ce qu’il devint.
Rien n’était si beau, si leste, si brillant, si bien ordonné que les
deux armées. Les trompettes, les fifres, les hautbois, les tambours,
les canons; formaient une harmonie telle qu’il n’y en eut jamais en
enfer. Les canons renversèrent d’abord à peu près six mille hommes de
chaque côté; ensuite la mousqueterie ôta du meilleur des mondes environ
neuf à dix mille coquins qui en infectaient la surface. La baïonnette
fut aussi la raison suffisante de la mort de quelques milliers
d’hommes. Le tout pouvait bien se monter à une trentaine de mille âmes.
Candide, qui tremblait comme un philosophe, se cacha du mieux qu’il put
pendant cette boucherie héroïque.
Enfin, tandis que les deux rois fesaient chanter des _Te Deum_, chacun
dans son camp, il prit le parti d’aller raisonner ailleurs des effets
et des causes. Il passa par-dessus des tas de morts et de mourants, et
gagna d’abord un village voisin; il était en cendres: c’était un
village abare que les Bulgares avaient brûlé, selon les lois du droit
public. Ici des vieillards criblés de coups regardaient mourir leurs
femmes égorgées, qui tenaient leurs enfants à leurs mamelles
sanglantes; là des filles éventrées après avoir assouvi les besoins
naturels de quelques héros, rendaient les derniers soupirs; d’autres à
demi brûlées criaient qu’on achevât de leur donner la mort. Des
cervelles étaient répandues sur la terre à côté de bras et de jambes
coupés.
Candide s’enfuit au plus vite dans un autre village: il appartenait à
des Bulgares, et les héros abares l’avaient traité de même. Candide,
toujours marchant sur des membres palpitants ou à travers des ruines,
arriva enfin hors du théâtre de la guerre, portant quelques petites
provisions dans son bissac, et n’oubliant jamais mademoiselle
Cunégonde. Ses provisions lui manquèrent quand il fut en Hollande; mais
ayant entendu dire que tout le monde était riche dans ce pays-là, et
qu’on y était chrétien, il ne douta pas qu’on ne le traitât aussi bien
qu’il l’avait été dans le château de M. le baron, avant qu’il en eût
été chassé pour les beaux yeux de mademoiselle Cunégonde.
Il demanda l’aumône à plusieurs graves personnages, qui lui répondirent
tous que, s’il continuait à faire ce métier, on l’enfermerait dans une
maison de correction pour lui apprendre à vivre.
Il s’adressa ensuite à un homme qui venait de parler tout seul une
heure de suite sur la charité dans une grande assemblée. Cet orateur le
regardant de travers lui dit: Que venez-vous faire ici? y êtes-vous
pour la bonne cause? Il n’y a point d’effet sans cause, répondit
modestement Candide; tout est enchaîné nécessairement et arrangé pour
le mieux. Il a fallu que je fusse chassé d’auprès de mademoiselle
Cunégonde, que j’aie passé par les baguettes, et il faut que je demande
mon pain, jusqu’à ce que je puisse en gagner; tout cela ne pouvait être
autrement. Mon ami, lui dit l’orateur, croyez-vous que le pape soit
l’antechrist? Je ne l’avais pas encore entendu dire, répondit Candide:
mais qu’il le soit, ou qu’il ne le soit pas, je manque de pain. Tu ne
mérites pas d’en manger, dit l’autre: va, coquin, va, misérable, ne
m’approche de ta vie. La femme de l’orateur ayant mis la tête à la
fenêtre, et avisant un homme qui doutait que le pape fût antechrist,
lui répandit sur le chef un plein….. O ciel! à quel excès se porte le
zèle de la religion dans les dames!
Un homme qui n’avait point été baptisé, un bon anabaptiste, nommé
Jacques, vit la manière cruelle et ignominieuse dont on traitait ainsi
un de ses frères, un être à deux pieds sans plumes, qui avait une âme;
il l’amena chez lui, le nettoya, lui donna du pain et de la bière, lui
fit présent de deux florins, et voulut même lui apprendre à travailler
dans ses manufactures aux étoffes de Perse qu’on fabrique en Hollande.
Candide se prosternant presque devant lui, s’écriait: Maître Pangloss
me l’avait bien dit que tout est au mieux dans ce monde, car je suis
infiniment plus touché de votre extrême générosité que de la dureté de
ce monsieur à manteau noir, et de madame son épouse.
Le lendemain, en se promenant, il rencontra un gueux tout couvert de
pustules, les yeux morts, le bout du nez rongé, la bouche de travers,
les dents noires, et parlant de la gorge, tourmenté d’une toux
violente, et crachant une dent à chaque effort.
CHAPITRE IV.
Comment Candide rencontra son ancien maître de philosophie, le docteur
Pangloss, et ce qui en advint.
Candide, plus ému encore de compassion que d’horreur, donna à cet
épouvantable gueux les deux florins qu’il avait reçus de son honnête
anabaptiste Jacques. Le fantôme le regarda fixement, versa des larmes,
et sauta à son cou. Candide effrayé recule. Hélas! dit le misérable à
l’autre misérable, ne reconnaissez-vous plus votre cher Pangloss?
Qu’entends-je? vous, mon cher maître! vous, dans cet état horrible!
quel malheur vous est-il donc arrivé? pourquoi n’êtes-vous plus dans le
plus beau des châteaux? qu’est devenue mademoiselle Cunégonde, la perle
des filles, le chef-d’oeuvre de la nature? Je n’en peux plus, dit
Pangloss. Aussitôt Candide le mena dans l’étable de l’anabaptiste, où
il lui fit manger un peu de pain; et quand Pangloss fut refait: Eh
bien! lui dit-il, Cunégonde? Elle est morte, reprit l’autre. Candide
s’évanouit à ce mot: son ami rappela ses sens avec un peu de mauvais
vinaigre qui se trouva par hasard dans l’étable. Candide rouvre les
yeux. Cunégonde est morte! Ah! meilleur des mondes, où êtes-vous? Mais
de quelle maladie est-elle morte? ne serait-ce point de m’avoir vu
chasser du beau château de monsieur son père à grands coups de pied?
Non, dit Pangloss, elle a été éventrée par des soldats bulgares, après
avoir été violée autant qu’on peut l’être; ils ont cassé la tête à
monsieur le baron qui voulait la défendre; madame la baronne a été
coupée en morceaux; mon pauvre pupille traité précisément comme sa
soeur; et quant au château, il n’est pas resté pierre sur pierre, pas
une grange, pas un mouton, pas un canard, pas un arbre; mais nous avons
été bien vengés, car les Abares en ont fait autant dans une baronnie
voisine qui appartenait à un seigneur bulgare.
A ce discours, Candide s’évanouit encore; mais revenu à soi, et ayant
dit tout ce qu’il devait dire, il s’enquit de la cause et de l’effet,
et de la raison suffisante qui avait mis Pangloss dans un si piteux
état. Hélas! dit l’autre, c’est l’amour: l’amour, le consolateur du
genre humain, le conservateur de l’univers, l’âme de tous les êtres
sensibles, le tendre amour. Hélas! dit Candide, je l’ai connu cet
amour, ce souverain des coeurs, cette âme de notre âme; il ne m’a
jamais valu qu’un baiser et vingt coups de pied au cul. Comment cette
belle cause a-t-elle pu produire en vous un effet si abominable?
Pangloss répondit en ces termes: O mon cher Candide! vous avez connu
Paquette, cette jolie suivante de notre auguste baronne: j’ai goûté
dans ses bras les délices du paradis, qui ont produit ces tourments
d’enfer dont vous me voyez dévoré; elle en était infectée, elle en est
peut-être morte. Paquette tenait ce présent d’un cordelier très savant
qui avait remonté à la source, car il l’avait eu d’une vieille
comtesse, qui l’avait reçu d’un capitaine de cavalerie, qui le devait à
une marquise, qui le tenait d’un page, qui l’avait reçu d’un jésuite,
qui, étant novice, l’avait eu en droite ligne d’un des compagnons de
Christophe Colomb. Pour moi, je ne le donnerai à personne, car je me
meurs.
O Pangloss! s’écria Candide, voilà une étrange généalogie! n’est-ce pas
le diable qui en fut la souche? Point du tout, répliqua ce grand homme;
c’était une chose indispensable dans le meilleur des mondes, un
ingrédient nécessaire; car si Colomb n’avait pas attrapé dans une île
de l’Amérique cette maladie[1] qui empoisonne la source de la
génération, qui souvent même empêche la génération, et qui est
évidemment l’opposé du grand but de la nature, nous n’aurions ni le
chocolat ni la cochenille; il faut encore observer que
jusqu’aujourd’hui, dans notre continent, cette maladie nous est
particulière, comme la controverse. Les Turcs, les Indiens, les
Persans, les Chinois, les Siamois, les Japonais, ne la connaissent pas
encore; mais il y a une raison suffisante pour qu’ils la connaissent à
leur tour dans quelques siècles. En attendant elle a fait un
merveilleux progrès parmi nous, et surtout dans ces grandes armées
composées d’honnêtes stipendiaires bien élevés, qui décident du destin
des états; on peut assurer que, quand trente mille hommes combattent en
bataille rangée contre des troupes égales en nombre, il y a environ
vingt mille vérolés de chaque côté.
[1] Voyez tome XXXI, page 7. B.
Voilà qui est admirable, dit Candide; mais il faut vous faire guérir.
Et comment le puis-je? dit Pangloss; je n’ai pas le sou, mon ami, et
dans toute l’étendue de ce globe on ne peut ni se faire saigner, ni
prendre un lavement sans payer, ou sans qu’il y ait quelqu’un qui paie
pour nous.
Ce dernier discours détermina Candide; il alla se jeter aux pieds de
son charitable anabaptiste Jacques, et lui fit une peinture si
touchante de l’état où son ami était réduit, que le bon-homme n’hésita
pas à recueillir le docteur Pangloss; il le fit guérir à ses dépens.
Pangloss, dans la cure, ne perdit qu’un oeil et une oreille. Il
écrivait bien, et savait parfaitement l’arithmétique. L’anabaptiste
Jacques en fit son teneur de livres. Au bout de deux mois, étant obligé
d’aller à Lisbonne pour les affaires de son commerce, il mena dans son
vaisseau ses deux philosophes. Pangloss lui expliqua comment tout était
on ne peut mieux. Jacques n’était pas de cet avis. Il faut bien,
disait-il, que les hommes aient un peu corrompu la nature, car ils ne
sont point nés loups, et ils sont devenus loups. Dieu ne leur a donné
ni canons de vingt-quatre, ni baïonnettes, et ils se sont fait des
baïonnettes et des canons pour se détruire. Je pourrais mettre en ligne
de compte les banqueroutes, et la justice qui s’empare des biens des
banqueroutiers pour en frustrer les créanciers. Tout cela était
indispensable, répliquait le docteur borgne, et les malheurs
particuliers font le bien général; de sorte que plus il y a de malheurs
particuliers, et plus tout est bien. Tandis qu’il raisonnait, l’air
s’obscurcit, les vents soufflèrent des quatre coins du monde, et le
vaisseau fut assailli de la plus horrible tempête, à la vue du port de
Lisbonne.
CHAPITRE V.
Tempête, naufrage, tremblement de terre, et ce qui advint du docteur
Pangloss, de Candide, et de l’anabaptiste Jacques.
La moitié des passagers affaiblis, expirants de ces angoisses
inconcevables que le roulis d’un vaisseau porte dans les nerfs et dans
toutes les humeurs du corps agitées en sens contraires, n’avait pas
même la force de s’inquiéter du danger. L’autre moitié jetait des cris
et fesait des prières; les voiles étaient déchirées, les mâts brisés,
le vaisseau entr’ouvert. Travaillait qui pouvait, personne ne
s’entendait, personne ne commandait. L’anabaptiste aidait un peu à la
manoeuvre; il était sur le tillac; un matelot furieux le frappe
rudement et l’étend sur les planches; mais du coup qu’il lui donna, il
eut lui-même une si violente secousse, qu’il tomba hors du vaisseau, la
tête la première. Il restait suspendu et accroché à une partie de mât
rompu. Le bon Jacques court à son secours, l’aide à remonter, et de
l’effort qu’il fait, il est précipité dans la mer à la vue du matelot,
qui le laissa périr sans daigner seulement le regarder. Candide
approche, voit son bienfaiteur qui reparaît un moment, et qui est
englouti pour jamais. Il veut se jeter après lui dans la mer: le
philosophe Pangloss l’en empêche, en lui prouvant que la rade de
Lisbonne avait été formée exprès pour que cet anabaptiste s’y noyât.
Tandis qu’il le prouvait _à priori_, le vaisseau s’entr’ouvre, tout
périt à la réserve de Pangloss, de Candide, et de ce brutal de matelot
qui avait noyé le vertueux anabaptiste; le coquin nagea heureusement
jusqu’au rivage, où Pangloss et Candide furent portés sur une planche.
Quand ils furent revenus un peu à eux, ils marchèrent vers Lisbonne; il
leur restait quelque argent, avec lequel ils espéraient se sauver de la
faim après avoir échappé à la tempête.
A peine ont-ils mis le pied dans la ville, en pleurant la mort de leur
bienfaiteur, qu’ils sentent la terre trembler sous leurs pas[1]; la mer
s’élève en bouillonnant dans le port, et brise les vaisseaux qui sont à
l’ancre. Des tourbillons de flammes et de cendres couvrent les rues et
les places publiques; les maisons s’écroulent, les toits sont renversés
sur les fondements, et les fondements se dispersent; trente mille
habitants de tout âge et de tout sexe sont écrasés sous des ruines. Le
matelot disait en sifflant et en jurant: il y aura quelque chose à
gagner ici. Quelle peut être la raison suffisante de ce phénomène?
disait Pangloss. Voici le dernier jour du monde! s’écriait Candide. Le
matelot court incontinent au milieu des débris, affronte la mort pour
trouver de l’argent, en trouve, s’en empare, s’enivre, et ayant cuvé
son vin, achète les faveurs de la première fille de bonne volonté qu’il
rencontre sur les ruines des maisons détruites, et au milieu des
mourants et des morts. Pangloss le tirait cependant par la manche: Mon
ami, lui disait-il, cela n’est pas bien, vous manquez à la raison
universelle, vous prenez mal votre temps. Tête et sang, répondit
l’autre, je suis matelot et né à Batavia; j’ai marché quatre fois sur
le crucifix dans quatre voyages au Japon[2]; tu as bien trouvé ton
homme avec ta raison universelle!
[1] Le tremblement de terre de Lisbonne est du 1er novembre 1755. B.
[2] Voyez tome XVIII, page 470. B.
Quelques éclats de pierre avaient blessé Candide; il était étendu dans
la rue et couvert de débris. Il disait à Pangloss: Hélas! procure-moi
un peu de vin et d’huile; je me meurs. Ce tremblement de terre n’est
pas une chose nouvelle, répondit Pangloss; la ville de Lima éprouva les
mêmes secousses en Amérique l’année passée; mêmes causes, mêmes effets;
il y a certainement une traînée de soufre sous terre depuis Lima
jusqu’à Lisbonne. Rien n’est plus probable, dit Candide; mais, pour
Dieu, un peu d’huile et de vin. Comment probable? répliqua le
philosophe, je soutiens que la chose est démontrée. Candide perdit
connaissance, et Pangloss lui apporta un peu d’eau d’une fontaine
voisine.
Le lendemain, ayant trouvé quelques provisions de bouche en se glissant
à travers des décombres, ils réparèrent un peu leurs forces. Ensuite
ils travaillèrent comme les autres à soulager les habitants échappés à
la mort. Quelques citoyens, secourus par eux, leur donnèrent un aussi
bon dîner qu’on le pouvait dans un tel désastre: il est vrai que le
repas était triste; les convives arrosaient leur pain de leurs larmes;
mais Pangloss les consola, en les assurant que les choses ne pouvaient
être autrement: Car, dit-il, tout ceci est ce qu’il y a de mieux; car
s’il y a un volcan à Lisbonne, il ne pouvait être ailleurs; car il est
impossible que les choses ne soient pas où elles sont, car tout est
bien.
Un petit homme noir, familier de l’inquisition, lequel était à côté de
lui, prit poliment la parole et dit: Apparemment que monsieur ne croit
pas au péché originel; car si tout est au mieux, il n’y a donc eu ni
chute ni punition.
Je demande très humblement pardon à votre excellence, répondit Pangloss
encore plus poliment, car la chute de l’homme et la malédiction
entraient nécessairement dans le meilleur des mondes possibles.
Monsieur ne croit donc pas à la liberté? dit le familier. Votre
excellence m’excusera, dit Pangloss; la liberté peut subsister avec la
nécessité absolue; car il était nécessaire que nous fussions libres;
car enfin la volonté déterminée…… Pangloss était au milieu de sa
phrase, quand le familier fit un signe de tête à son estafier qui lui
s</t>
  </si>
  <si>
    <t>probability</t>
  </si>
  <si>
    <t>entropy</t>
  </si>
  <si>
    <t>cross-entropy</t>
  </si>
  <si>
    <t>Candide/Faust</t>
  </si>
  <si>
    <t>Faust/Gatsby</t>
  </si>
  <si>
    <t>Candide/Gatsby</t>
  </si>
  <si>
    <t>Faust/Candide</t>
  </si>
  <si>
    <t>Gatsby/Faust</t>
  </si>
  <si>
    <t>Gatsby/Candide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</si>
</sst>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0"/>
      <color rgb="FF000000"/>
      <name val="Tahoma"/>
      <family val="2"/>
    </font>
  </fonts>
  <fills count="11">
    <fill>
      <patternFill patternType="none"/>
    </fill>
    <fill>
      <patternFill patternType="gray125"/>
    </fill>
    <fill>
      <patternFill patternType="solid">
        <fgColor theme="4"/>
      </patternFill>
    </fill>
    <fill>
      <patternFill patternType="solid">
        <fgColor theme="6"/>
      </patternFill>
    </fill>
    <fill>
      <patternFill patternType="solid">
        <fgColor theme="6" tint="-0.499984740745262"/>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rgb="FF002060"/>
        <bgColor indexed="64"/>
      </patternFill>
    </fill>
    <fill>
      <patternFill patternType="solid">
        <fgColor rgb="FF002300"/>
        <bgColor indexed="64"/>
      </patternFill>
    </fill>
    <fill>
      <patternFill patternType="solid">
        <fgColor rgb="FF361038"/>
        <bgColor indexed="64"/>
      </patternFill>
    </fill>
    <fill>
      <patternFill patternType="solid">
        <fgColor rgb="FF542900"/>
        <bgColor indexed="64"/>
      </patternFill>
    </fill>
  </fills>
  <borders count="1">
    <border>
      <left/>
      <right/>
      <top/>
      <bottom/>
      <diagonal/>
    </border>
  </borders>
  <cellStyleXfs count="3">
    <xf numFmtId="0" fontId="0" fillId="0" borderId="0"/>
    <xf numFmtId="0" fontId="2" fillId="2" borderId="0" applyNumberFormat="0" applyBorder="0" applyAlignment="0" applyProtection="0"/>
    <xf numFmtId="0" fontId="2" fillId="3" borderId="0" applyNumberFormat="0" applyBorder="0" applyAlignment="0" applyProtection="0"/>
  </cellStyleXfs>
  <cellXfs count="21">
    <xf numFmtId="0" fontId="0" fillId="0" borderId="0" xfId="0"/>
    <xf numFmtId="49" fontId="0" fillId="0" borderId="0" xfId="0" applyNumberFormat="1"/>
    <xf numFmtId="0" fontId="2" fillId="2" borderId="0" xfId="1"/>
    <xf numFmtId="49" fontId="2" fillId="2" borderId="0" xfId="1" applyNumberFormat="1"/>
    <xf numFmtId="0" fontId="0" fillId="0" borderId="0" xfId="0" applyAlignment="1">
      <alignment wrapText="1"/>
    </xf>
    <xf numFmtId="0" fontId="1" fillId="0" borderId="0" xfId="0" applyFont="1"/>
    <xf numFmtId="49" fontId="2" fillId="4" borderId="0" xfId="2" applyNumberFormat="1" applyFill="1"/>
    <xf numFmtId="0" fontId="2" fillId="4" borderId="0" xfId="2" applyNumberFormat="1" applyFill="1"/>
    <xf numFmtId="49" fontId="2" fillId="5" borderId="0" xfId="1" applyNumberFormat="1" applyFill="1"/>
    <xf numFmtId="0" fontId="2" fillId="5" borderId="0" xfId="1" applyFill="1"/>
    <xf numFmtId="49" fontId="2" fillId="6" borderId="0" xfId="1" applyNumberFormat="1" applyFill="1"/>
    <xf numFmtId="0" fontId="2" fillId="6" borderId="0" xfId="1" applyFill="1"/>
    <xf numFmtId="49" fontId="0" fillId="7" borderId="0" xfId="0" applyNumberFormat="1" applyFill="1"/>
    <xf numFmtId="0" fontId="0" fillId="7" borderId="0" xfId="0" applyFill="1"/>
    <xf numFmtId="49" fontId="0" fillId="8" borderId="0" xfId="0" applyNumberFormat="1" applyFill="1"/>
    <xf numFmtId="0" fontId="0" fillId="8" borderId="0" xfId="0" applyFill="1"/>
    <xf numFmtId="49" fontId="0" fillId="9" borderId="0" xfId="0" applyNumberFormat="1" applyFill="1"/>
    <xf numFmtId="0" fontId="0" fillId="9" borderId="0" xfId="0" applyFill="1"/>
    <xf numFmtId="49" fontId="0" fillId="10" borderId="0" xfId="0" applyNumberFormat="1" applyFill="1"/>
    <xf numFmtId="0" fontId="0" fillId="10" borderId="0" xfId="0" applyFill="1"/>
    <xf numFmtId="0" fontId="0" fillId="0" borderId="0" xfId="0" applyNumberFormat="1"/>
  </cellXfs>
  <cellStyles count="3">
    <cellStyle name="Accent1" xfId="1" builtinId="29"/>
    <cellStyle name="Accent3" xfId="2" builtinId="37"/>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fill>
        <patternFill patternType="solid">
          <fgColor indexed="64"/>
          <bgColor rgb="FF542900"/>
        </patternFill>
      </fill>
    </dxf>
    <dxf>
      <numFmt numFmtId="0" formatCode="General"/>
    </dxf>
    <dxf>
      <numFmt numFmtId="0" formatCode="General"/>
    </dxf>
    <dxf>
      <numFmt numFmtId="0" formatCode="General"/>
    </dxf>
    <dxf>
      <numFmt numFmtId="30" formatCode="@"/>
    </dxf>
    <dxf>
      <fill>
        <patternFill patternType="solid">
          <fgColor indexed="64"/>
          <bgColor rgb="FF361038"/>
        </patternFill>
      </fill>
    </dxf>
    <dxf>
      <numFmt numFmtId="0" formatCode="General"/>
    </dxf>
    <dxf>
      <numFmt numFmtId="0" formatCode="General"/>
    </dxf>
    <dxf>
      <numFmt numFmtId="0" formatCode="General"/>
    </dxf>
    <dxf>
      <numFmt numFmtId="30" formatCode="@"/>
    </dxf>
    <dxf>
      <fill>
        <patternFill patternType="solid">
          <fgColor indexed="64"/>
          <bgColor rgb="FF002300"/>
        </patternFill>
      </fill>
    </dxf>
    <dxf>
      <numFmt numFmtId="0" formatCode="General"/>
    </dxf>
    <dxf>
      <numFmt numFmtId="0" formatCode="General"/>
    </dxf>
    <dxf>
      <numFmt numFmtId="0" formatCode="General"/>
    </dxf>
    <dxf>
      <numFmt numFmtId="30" formatCode="@"/>
    </dxf>
    <dxf>
      <fill>
        <patternFill patternType="solid">
          <fgColor indexed="64"/>
          <bgColor rgb="FF002060"/>
        </patternFill>
      </fill>
    </dxf>
  </dxfs>
  <tableStyles count="0" defaultTableStyle="TableStyleMedium2" defaultPivotStyle="PivotStyleLight16"/>
  <colors>
    <mruColors>
      <color rgb="FF542900"/>
      <color rgb="FF361038"/>
      <color rgb="FF461548"/>
      <color rgb="FF002300"/>
      <color rgb="FF001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7551C2-3456-7F4A-A6A8-D7F7EA63F630}" name="Table2" displayName="Table2" ref="C1:F67" headerRowDxfId="22">
  <autoFilter ref="C1:F67" xr:uid="{BF7551C2-3456-7F4A-A6A8-D7F7EA63F630}">
    <filterColumn colId="0" hiddenButton="1"/>
    <filterColumn colId="1" hiddenButton="1"/>
    <filterColumn colId="2" hiddenButton="1"/>
    <filterColumn colId="3" hiddenButton="1"/>
  </autoFilter>
  <tableColumns count="4">
    <tableColumn id="1" xr3:uid="{3CB572DD-E8F9-B94A-B5EF-E26BB90DB9C7}" name="Character" totalsRowFunction="count" dataDxfId="21"/>
    <tableColumn id="2" xr3:uid="{8B4B3BCE-9355-9C4F-9BD9-F5ED61E2B104}" name="Candide" dataDxfId="20">
      <calculatedColumnFormula>LEN($B$2)-LEN(SUBSTITUTE($B$2,C2,""))</calculatedColumnFormula>
    </tableColumn>
    <tableColumn id="3" xr3:uid="{707EF525-B720-4143-A43B-AAF6DE51CCE2}" name="Faust" dataDxfId="19">
      <calculatedColumnFormula>LEN($B$3)-LEN(SUBSTITUTE($B$3,C2,""))</calculatedColumnFormula>
    </tableColumn>
    <tableColumn id="4" xr3:uid="{5AE32D71-6DFB-724E-97CC-F20066BC0F9F}" name="Gatsby" dataDxfId="18">
      <calculatedColumnFormula>LEN($B$4)-LEN(SUBSTITUTE($B$4,C2,""))</calculatedColumnFormula>
    </tableColumn>
  </tableColumns>
  <tableStyleInfo name="TableStyleDark5"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8713E-6BD5-E545-AEB7-25ACB34E8ED6}" name="Table1" displayName="Table1" ref="A1:B4" totalsRowShown="0">
  <autoFilter ref="A1:B4" xr:uid="{A258713E-6BD5-E545-AEB7-25ACB34E8ED6}">
    <filterColumn colId="0" hiddenButton="1"/>
    <filterColumn colId="1" hiddenButton="1"/>
  </autoFilter>
  <tableColumns count="2">
    <tableColumn id="1" xr3:uid="{ABE123D2-30CA-5540-9D73-02C9F020527E}" name="Book"/>
    <tableColumn id="2" xr3:uid="{F18F6A35-E55A-8842-A463-2575A01AE433}" name="Text"/>
  </tableColumns>
  <tableStyleInfo name="TableStyleDark8"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182C10-6958-C243-BB5D-AEAB4742273F}" name="Table3" displayName="Table3" ref="G1:J67" headerRowDxfId="17">
  <autoFilter ref="G1:J67" xr:uid="{34182C10-6958-C243-BB5D-AEAB4742273F}">
    <filterColumn colId="0" hiddenButton="1"/>
    <filterColumn colId="1" hiddenButton="1"/>
    <filterColumn colId="2" hiddenButton="1"/>
    <filterColumn colId="3" hiddenButton="1"/>
  </autoFilter>
  <tableColumns count="4">
    <tableColumn id="1" xr3:uid="{A526E959-DE5D-E049-AF8A-5CCFE3C3BAB2}" name="Character" totalsRowFunction="count" dataDxfId="16"/>
    <tableColumn id="2" xr3:uid="{E9644F31-0145-D647-9411-04DE4EAB5AB9}" name="Candide" dataDxfId="15">
      <calculatedColumnFormula>Table2[[#This Row],[Candide]]/$D$2</calculatedColumnFormula>
    </tableColumn>
    <tableColumn id="3" xr3:uid="{3A6EE6FE-0A89-D944-A763-4B5108EC2A82}" name="Faust" dataDxfId="14"/>
    <tableColumn id="4" xr3:uid="{0831089F-ADD7-394A-8B0A-12F2DCB99E5D}" name="Gatsby" dataDxfId="13"/>
  </tableColumns>
  <tableStyleInfo name="TableStyleDark4" showFirstColumn="1"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7A8682-5735-8D42-897E-F5E090FA90FB}" name="Table4" displayName="Table4" ref="K1:N67" headerRowDxfId="12">
  <autoFilter ref="K1:N67" xr:uid="{377A8682-5735-8D42-897E-F5E090FA90FB}">
    <filterColumn colId="0" hiddenButton="1"/>
    <filterColumn colId="1" hiddenButton="1"/>
    <filterColumn colId="2" hiddenButton="1"/>
    <filterColumn colId="3" hiddenButton="1"/>
  </autoFilter>
  <tableColumns count="4">
    <tableColumn id="1" xr3:uid="{4C516FE7-E618-B444-A753-57ADFA4FD674}" name="Character" totalsRowFunction="count" dataDxfId="11"/>
    <tableColumn id="2" xr3:uid="{5861E9E8-8D05-CF41-A9D7-8CA0CC5F9EE4}" name="Candide" dataDxfId="10">
      <calculatedColumnFormula>IF(Table3[[#This Row],[Candide]]=0, 0, -Table3[[#This Row],[Candide]]*LOG(Table3[[#This Row],[Candide]],2))</calculatedColumnFormula>
    </tableColumn>
    <tableColumn id="3" xr3:uid="{B5DE387E-1C5E-0841-9289-B75301A9612C}" name="Faust" dataDxfId="9"/>
    <tableColumn id="4" xr3:uid="{05CD3B61-E5CA-AE45-A5D3-08F231E92D2C}" name="Gatsby" dataDxfId="8"/>
  </tableColumns>
  <tableStyleInfo name="TableStyleDark6"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6736E0-CD4A-C540-B403-FDD5C90C9210}" name="Table268" displayName="Table268" ref="O1:U67" headerRowDxfId="7">
  <autoFilter ref="O1:U67" xr:uid="{B76736E0-CD4A-C540-B403-FDD5C90C921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88704D7-1619-394E-94EB-0F6B5A9A2E5F}" name="Character" totalsRowFunction="count" dataDxfId="6"/>
    <tableColumn id="2" xr3:uid="{5F515118-1121-E740-9E50-310E7C29C791}" name="Candide/Faust" dataDxfId="5">
      <calculatedColumnFormula>IF(Table3[[#This Row],[Faust]]=0, 0, -Table3[[#This Row],[Candide]]*LOG(Table3[[#This Row],[Faust]],2))</calculatedColumnFormula>
    </tableColumn>
    <tableColumn id="3" xr3:uid="{0587F6BE-5152-EC4F-B14B-57DE0EE9D3DF}" name="Faust/Gatsby" dataDxfId="4"/>
    <tableColumn id="4" xr3:uid="{5B12EA78-001B-4D4C-BF93-F76EFC377F1F}" name="Candide/Gatsby" dataDxfId="3"/>
    <tableColumn id="5" xr3:uid="{886581D8-3354-6A4E-85A5-E6D3C4DCFF74}" name="Faust/Candide" dataDxfId="2"/>
    <tableColumn id="6" xr3:uid="{D751312B-8BCF-2741-8B05-415CDECAB012}" name="Gatsby/Faust" dataDxfId="1"/>
    <tableColumn id="7" xr3:uid="{F7398D3C-0AAE-F348-8464-81495BEBAD91}" name="Gatsby/Candide" dataDxfId="0"/>
  </tableColumns>
  <tableStyleInfo name="TableStyleDark3"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BA57-95B0-6D4D-BD8D-06ABF845633B}">
  <dimension ref="A1:U69"/>
  <sheetViews>
    <sheetView tabSelected="1" workbookViewId="0">
      <selection activeCell="W9" sqref="W9"/>
    </sheetView>
  </sheetViews>
  <sheetFormatPr baseColWidth="10" defaultRowHeight="16" x14ac:dyDescent="0.2"/>
  <cols>
    <col min="1" max="1" width="12.6640625" bestFit="1" customWidth="1"/>
    <col min="2" max="2" width="11" customWidth="1"/>
    <col min="3" max="3" width="11" style="1" customWidth="1"/>
    <col min="8" max="8" width="10.83203125" customWidth="1"/>
    <col min="15" max="15" width="12.6640625" bestFit="1" customWidth="1"/>
    <col min="16" max="16" width="13.33203125" bestFit="1" customWidth="1"/>
    <col min="17" max="17" width="12.33203125" bestFit="1" customWidth="1"/>
    <col min="18" max="18" width="14.5" bestFit="1" customWidth="1"/>
    <col min="19" max="19" width="13.33203125" bestFit="1" customWidth="1"/>
    <col min="20" max="20" width="12.33203125" bestFit="1" customWidth="1"/>
    <col min="21" max="21" width="14.5" bestFit="1" customWidth="1"/>
  </cols>
  <sheetData>
    <row r="1" spans="1:21" x14ac:dyDescent="0.2">
      <c r="A1" t="s">
        <v>71</v>
      </c>
      <c r="B1" s="5" t="s">
        <v>68</v>
      </c>
      <c r="C1" s="12" t="s">
        <v>0</v>
      </c>
      <c r="D1" s="13" t="s">
        <v>2</v>
      </c>
      <c r="E1" s="13" t="s">
        <v>3</v>
      </c>
      <c r="F1" s="13" t="s">
        <v>4</v>
      </c>
      <c r="G1" s="14" t="s">
        <v>0</v>
      </c>
      <c r="H1" s="15" t="s">
        <v>2</v>
      </c>
      <c r="I1" s="15" t="s">
        <v>3</v>
      </c>
      <c r="J1" s="15" t="s">
        <v>4</v>
      </c>
      <c r="K1" s="16" t="s">
        <v>0</v>
      </c>
      <c r="L1" s="17" t="s">
        <v>2</v>
      </c>
      <c r="M1" s="17" t="s">
        <v>3</v>
      </c>
      <c r="N1" s="17" t="s">
        <v>4</v>
      </c>
      <c r="O1" s="18" t="s">
        <v>0</v>
      </c>
      <c r="P1" s="19" t="s">
        <v>77</v>
      </c>
      <c r="Q1" s="19" t="s">
        <v>78</v>
      </c>
      <c r="R1" s="19" t="s">
        <v>79</v>
      </c>
      <c r="S1" s="19" t="s">
        <v>80</v>
      </c>
      <c r="T1" s="19" t="s">
        <v>81</v>
      </c>
      <c r="U1" s="19" t="s">
        <v>82</v>
      </c>
    </row>
    <row r="2" spans="1:21" ht="16" customHeight="1" x14ac:dyDescent="0.2">
      <c r="A2" t="s">
        <v>2</v>
      </c>
      <c r="B2" s="4" t="s">
        <v>69</v>
      </c>
      <c r="C2" s="3" t="s">
        <v>1</v>
      </c>
      <c r="D2" s="2">
        <f>SUM(D3:D67)</f>
        <v>31288</v>
      </c>
      <c r="E2" s="2">
        <f>SUM(E3:E67)</f>
        <v>30592</v>
      </c>
      <c r="F2" s="2">
        <f>SUM(F3:F67)</f>
        <v>30632</v>
      </c>
      <c r="G2" s="6" t="s">
        <v>74</v>
      </c>
      <c r="H2" s="7">
        <f>SUM(H3:H67)</f>
        <v>1.0000000000000002</v>
      </c>
      <c r="I2" s="7">
        <f>SUM(I3:I67)</f>
        <v>1.0000000000000002</v>
      </c>
      <c r="J2" s="7">
        <f>SUM(J3:J67)</f>
        <v>1</v>
      </c>
      <c r="K2" s="8" t="s">
        <v>75</v>
      </c>
      <c r="L2" s="9">
        <f>SUM(L3:L67)</f>
        <v>4.3540353524215085</v>
      </c>
      <c r="M2" s="9">
        <f t="shared" ref="M2:N2" si="0">SUM(M3:M67)</f>
        <v>4.4660353977020488</v>
      </c>
      <c r="N2" s="9">
        <f t="shared" si="0"/>
        <v>4.3945538362927117</v>
      </c>
      <c r="O2" s="10" t="s">
        <v>76</v>
      </c>
      <c r="P2" s="11">
        <f>SUM(P3:P67)</f>
        <v>4.5497267545904183</v>
      </c>
      <c r="Q2" s="11">
        <f t="shared" ref="Q2:R2" si="1">SUM(Q3:Q67)</f>
        <v>4.7991012542924611</v>
      </c>
      <c r="R2" s="11">
        <f>SUM(R3:R67)</f>
        <v>4.6245918817811917</v>
      </c>
      <c r="S2" s="11">
        <f>SUM(S3:S67)</f>
        <v>4.663496509032969</v>
      </c>
      <c r="T2" s="11">
        <f>SUM(T3:T67)</f>
        <v>4.641332702941054</v>
      </c>
      <c r="U2" s="11">
        <f>SUM(U3:U67)</f>
        <v>4.6003499960165817</v>
      </c>
    </row>
    <row r="3" spans="1:21" ht="15" customHeight="1" x14ac:dyDescent="0.2">
      <c r="A3" t="s">
        <v>3</v>
      </c>
      <c r="B3" s="4" t="s">
        <v>72</v>
      </c>
      <c r="C3" s="1" t="s">
        <v>5</v>
      </c>
      <c r="D3">
        <f t="shared" ref="D3:D34" si="2">LEN($B$2)-LEN(SUBSTITUTE($B$2,C3,""))</f>
        <v>2043</v>
      </c>
      <c r="E3">
        <f t="shared" ref="E3:E34" si="3">LEN($B$3)-LEN(SUBSTITUTE($B$3,C3,""))</f>
        <v>1109</v>
      </c>
      <c r="F3">
        <f t="shared" ref="F3:F34" si="4">LEN($B$4)-LEN(SUBSTITUTE($B$4,C3,""))</f>
        <v>1919</v>
      </c>
      <c r="G3" s="1" t="s">
        <v>5</v>
      </c>
      <c r="H3">
        <f>Table2[[#This Row],[Candide]]/$D$2</f>
        <v>6.5296599335208386E-2</v>
      </c>
      <c r="I3">
        <f>Table2[[#This Row],[Faust]]/$E$2</f>
        <v>3.6251307531380755E-2</v>
      </c>
      <c r="J3">
        <f>Table2[[#This Row],[Gatsby]]/$F$2</f>
        <v>6.2646905197179414E-2</v>
      </c>
      <c r="K3" s="1" t="s">
        <v>5</v>
      </c>
      <c r="L3">
        <f>IF(Table3[[#This Row],[Candide]]=0, 0, -Table3[[#This Row],[Candide]]*LOG(Table3[[#This Row],[Candide]],2))</f>
        <v>0.25706280817806904</v>
      </c>
      <c r="M3">
        <f>IF(Table3[[#This Row],[Faust]]=0, 0, -Table3[[#This Row],[Faust]]*LOG(Table3[[#This Row],[Faust]],2))</f>
        <v>0.17349234708490174</v>
      </c>
      <c r="N3">
        <f>IF(Table3[[#This Row],[Gatsby]]=0, 0, -Table3[[#This Row],[Gatsby]]*LOG(Table3[[#This Row],[Gatsby]], 2))</f>
        <v>0.25037543250419575</v>
      </c>
      <c r="O3" s="1" t="s">
        <v>5</v>
      </c>
      <c r="P3">
        <f>IF(Table3[[#This Row],[Faust]]=0, 0, -Table3[[#This Row],[Candide]]*LOG(Table3[[#This Row],[Faust]],2))</f>
        <v>0.31249797722527151</v>
      </c>
      <c r="Q3">
        <f>IF(Table3[[#This Row],[Gatsby]]=0, 0, -Table3[[#This Row],[Faust]]*LOG(Table3[[#This Row],[Gatsby]],2))</f>
        <v>0.14488244508558293</v>
      </c>
      <c r="R3">
        <f>IF(Table3[[#This Row],[Gatsby]]=0, 0, -Table3[[#This Row],[Candide]]*LOG(Table3[[#This Row],[Gatsby]],2))</f>
        <v>0.26096523440621699</v>
      </c>
      <c r="S3" s="20">
        <f>IF(Table3[[#This Row],[Candide]]=0, 0, -Table3[[#This Row],[Faust]]*LOG(Table3[[#This Row],[Candide]],2))</f>
        <v>0.14271589958772513</v>
      </c>
      <c r="T3" s="20">
        <f>IF(Table3[[#This Row],[Faust]]=0, 0, -Table3[[#This Row],[Gatsby]]*LOG(Table3[[#This Row],[Faust]],2))</f>
        <v>0.29981700965835512</v>
      </c>
      <c r="U3" s="20">
        <f>IF(Table3[[#This Row],[Candide]]=0, 0, -Table3[[#This Row],[Gatsby]]*LOG(Table3[[#This Row],[Candide]],2))</f>
        <v>0.24663136423046023</v>
      </c>
    </row>
    <row r="4" spans="1:21" ht="16" customHeight="1" x14ac:dyDescent="0.2">
      <c r="A4" t="s">
        <v>4</v>
      </c>
      <c r="B4" s="4" t="s">
        <v>73</v>
      </c>
      <c r="C4" s="1" t="s">
        <v>6</v>
      </c>
      <c r="D4">
        <f t="shared" si="2"/>
        <v>364</v>
      </c>
      <c r="E4">
        <f t="shared" si="3"/>
        <v>389</v>
      </c>
      <c r="F4">
        <f t="shared" si="4"/>
        <v>262</v>
      </c>
      <c r="G4" s="1" t="s">
        <v>6</v>
      </c>
      <c r="H4">
        <f>Table2[[#This Row],[Candide]]/$D$2</f>
        <v>1.1633853234466888E-2</v>
      </c>
      <c r="I4">
        <f>Table2[[#This Row],[Faust]]/$E$2</f>
        <v>1.2715742677824268E-2</v>
      </c>
      <c r="J4">
        <f>Table2[[#This Row],[Gatsby]]/$F$2</f>
        <v>8.5531470357795777E-3</v>
      </c>
      <c r="K4" s="1" t="s">
        <v>6</v>
      </c>
      <c r="L4">
        <f>IF(Table3[[#This Row],[Candide]]=0, 0, -Table3[[#This Row],[Candide]]*LOG(Table3[[#This Row],[Candide]],2))</f>
        <v>7.4753640172413288E-2</v>
      </c>
      <c r="M4">
        <f>IF(Table3[[#This Row],[Faust]]=0, 0, -Table3[[#This Row],[Faust]]*LOG(Table3[[#This Row],[Faust]],2))</f>
        <v>8.0074089307821728E-2</v>
      </c>
      <c r="N4">
        <f>IF(Table3[[#This Row],[Gatsby]]=0, 0, -Table3[[#This Row],[Gatsby]]*LOG(Table3[[#This Row],[Gatsby]], 2))</f>
        <v>5.8754380489289965E-2</v>
      </c>
      <c r="O4" s="1" t="s">
        <v>6</v>
      </c>
      <c r="P4">
        <f>IF(Table3[[#This Row],[Faust]]=0, 0, -Table3[[#This Row],[Candide]]*LOG(Table3[[#This Row],[Faust]],2))</f>
        <v>7.3261171328624974E-2</v>
      </c>
      <c r="Q4">
        <f>IF(Table3[[#This Row],[Gatsby]]=0, 0, -Table3[[#This Row],[Faust]]*LOG(Table3[[#This Row],[Gatsby]],2))</f>
        <v>8.7348619212494899E-2</v>
      </c>
      <c r="R4">
        <f>IF(Table3[[#This Row],[Gatsby]]=0, 0, -Table3[[#This Row],[Candide]]*LOG(Table3[[#This Row],[Gatsby]],2))</f>
        <v>7.9916764745775581E-2</v>
      </c>
      <c r="S4" s="20">
        <f>IF(Table3[[#This Row],[Candide]]=0, 0, -Table3[[#This Row],[Faust]]*LOG(Table3[[#This Row],[Candide]],2))</f>
        <v>8.17053501970392E-2</v>
      </c>
      <c r="T4" s="20">
        <f>IF(Table3[[#This Row],[Faust]]=0, 0, -Table3[[#This Row],[Gatsby]]*LOG(Table3[[#This Row],[Faust]],2))</f>
        <v>5.3861223599653105E-2</v>
      </c>
      <c r="U4" s="20">
        <f>IF(Table3[[#This Row],[Candide]]=0, 0, -Table3[[#This Row],[Gatsby]]*LOG(Table3[[#This Row],[Candide]],2))</f>
        <v>5.4958478757507624E-2</v>
      </c>
    </row>
    <row r="5" spans="1:21" x14ac:dyDescent="0.2">
      <c r="C5" s="1" t="s">
        <v>7</v>
      </c>
      <c r="D5">
        <f t="shared" si="2"/>
        <v>564</v>
      </c>
      <c r="E5">
        <f t="shared" si="3"/>
        <v>1018</v>
      </c>
      <c r="F5">
        <f t="shared" si="4"/>
        <v>612</v>
      </c>
      <c r="G5" s="1" t="s">
        <v>7</v>
      </c>
      <c r="H5">
        <f>Table2[[#This Row],[Candide]]/$D$2</f>
        <v>1.8026080286371773E-2</v>
      </c>
      <c r="I5">
        <f>Table2[[#This Row],[Faust]]/$E$2</f>
        <v>3.3276673640167363E-2</v>
      </c>
      <c r="J5">
        <f>Table2[[#This Row],[Gatsby]]/$F$2</f>
        <v>1.9979106816401148E-2</v>
      </c>
      <c r="K5" s="1" t="s">
        <v>7</v>
      </c>
      <c r="L5">
        <f>IF(Table3[[#This Row],[Candide]]=0, 0, -Table3[[#This Row],[Candide]]*LOG(Table3[[#This Row],[Candide]],2))</f>
        <v>0.1044389716230012</v>
      </c>
      <c r="M5">
        <f>IF(Table3[[#This Row],[Faust]]=0, 0, -Table3[[#This Row],[Faust]]*LOG(Table3[[#This Row],[Faust]],2))</f>
        <v>0.16336667008431435</v>
      </c>
      <c r="N5">
        <f>IF(Table3[[#This Row],[Gatsby]]=0, 0, -Table3[[#This Row],[Gatsby]]*LOG(Table3[[#This Row],[Gatsby]], 2))</f>
        <v>0.11278933241448143</v>
      </c>
      <c r="O5" s="1" t="s">
        <v>7</v>
      </c>
      <c r="P5">
        <f>IF(Table3[[#This Row],[Faust]]=0, 0, -Table3[[#This Row],[Candide]]*LOG(Table3[[#This Row],[Faust]],2))</f>
        <v>8.8496246436795281E-2</v>
      </c>
      <c r="Q5">
        <f>IF(Table3[[#This Row],[Gatsby]]=0, 0, -Table3[[#This Row],[Faust]]*LOG(Table3[[#This Row],[Gatsby]],2))</f>
        <v>0.18785893880741186</v>
      </c>
      <c r="R5">
        <f>IF(Table3[[#This Row],[Gatsby]]=0, 0, -Table3[[#This Row],[Candide]]*LOG(Table3[[#This Row],[Gatsby]],2))</f>
        <v>0.10176378655129235</v>
      </c>
      <c r="S5" s="20">
        <f>IF(Table3[[#This Row],[Candide]]=0, 0, -Table3[[#This Row],[Faust]]*LOG(Table3[[#This Row],[Candide]],2))</f>
        <v>0.19279740902079517</v>
      </c>
      <c r="T5" s="20">
        <f>IF(Table3[[#This Row],[Faust]]=0, 0, -Table3[[#This Row],[Gatsby]]*LOG(Table3[[#This Row],[Faust]],2))</f>
        <v>9.8084327392461909E-2</v>
      </c>
      <c r="U5" s="20">
        <f>IF(Table3[[#This Row],[Candide]]=0, 0, -Table3[[#This Row],[Gatsby]]*LOG(Table3[[#This Row],[Candide]],2))</f>
        <v>0.11575435905655851</v>
      </c>
    </row>
    <row r="6" spans="1:21" x14ac:dyDescent="0.2">
      <c r="C6" s="1" t="s">
        <v>8</v>
      </c>
      <c r="D6">
        <f t="shared" si="2"/>
        <v>1064</v>
      </c>
      <c r="E6">
        <f t="shared" si="3"/>
        <v>1048</v>
      </c>
      <c r="F6">
        <f t="shared" si="4"/>
        <v>1088</v>
      </c>
      <c r="G6" s="1" t="s">
        <v>8</v>
      </c>
      <c r="H6">
        <f>Table2[[#This Row],[Candide]]/$D$2</f>
        <v>3.4006647916133982E-2</v>
      </c>
      <c r="I6">
        <f>Table2[[#This Row],[Faust]]/$E$2</f>
        <v>3.425732217573222E-2</v>
      </c>
      <c r="J6">
        <f>Table2[[#This Row],[Gatsby]]/$F$2</f>
        <v>3.5518412118046488E-2</v>
      </c>
      <c r="K6" s="1" t="s">
        <v>8</v>
      </c>
      <c r="L6">
        <f>IF(Table3[[#This Row],[Candide]]=0, 0, -Table3[[#This Row],[Candide]]*LOG(Table3[[#This Row],[Candide]],2))</f>
        <v>0.16588576789461096</v>
      </c>
      <c r="M6">
        <f>IF(Table3[[#This Row],[Faust]]=0, 0, -Table3[[#This Row],[Faust]]*LOG(Table3[[#This Row],[Faust]],2))</f>
        <v>0.16674559064960043</v>
      </c>
      <c r="N6">
        <f>IF(Table3[[#This Row],[Gatsby]]=0, 0, -Table3[[#This Row],[Gatsby]]*LOG(Table3[[#This Row],[Gatsby]], 2))</f>
        <v>0.17103142284919712</v>
      </c>
      <c r="O6" s="1" t="s">
        <v>8</v>
      </c>
      <c r="P6">
        <f>IF(Table3[[#This Row],[Faust]]=0, 0, -Table3[[#This Row],[Candide]]*LOG(Table3[[#This Row],[Faust]],2))</f>
        <v>0.16552544777728423</v>
      </c>
      <c r="Q6">
        <f>IF(Table3[[#This Row],[Gatsby]]=0, 0, -Table3[[#This Row],[Faust]]*LOG(Table3[[#This Row],[Gatsby]],2))</f>
        <v>0.1649589101913119</v>
      </c>
      <c r="R6">
        <f>IF(Table3[[#This Row],[Gatsby]]=0, 0, -Table3[[#This Row],[Candide]]*LOG(Table3[[#This Row],[Gatsby]],2))</f>
        <v>0.16375184116051555</v>
      </c>
      <c r="S6" s="20">
        <f>IF(Table3[[#This Row],[Candide]]=0, 0, -Table3[[#This Row],[Faust]]*LOG(Table3[[#This Row],[Candide]],2))</f>
        <v>0.16710856680579497</v>
      </c>
      <c r="T6" s="20">
        <f>IF(Table3[[#This Row],[Faust]]=0, 0, -Table3[[#This Row],[Gatsby]]*LOG(Table3[[#This Row],[Faust]],2))</f>
        <v>0.17288387507868594</v>
      </c>
      <c r="U6" s="20">
        <f>IF(Table3[[#This Row],[Candide]]=0, 0, -Table3[[#This Row],[Gatsby]]*LOG(Table3[[#This Row],[Candide]],2))</f>
        <v>0.17326021321272361</v>
      </c>
    </row>
    <row r="7" spans="1:21" x14ac:dyDescent="0.2">
      <c r="C7" s="1" t="s">
        <v>9</v>
      </c>
      <c r="D7">
        <f t="shared" si="2"/>
        <v>3055</v>
      </c>
      <c r="E7">
        <f t="shared" si="3"/>
        <v>3924</v>
      </c>
      <c r="F7">
        <f t="shared" si="4"/>
        <v>3610</v>
      </c>
      <c r="G7" s="1" t="s">
        <v>9</v>
      </c>
      <c r="H7">
        <f>Table2[[#This Row],[Candide]]/$D$2</f>
        <v>9.7641268217847105E-2</v>
      </c>
      <c r="I7">
        <f>Table2[[#This Row],[Faust]]/$E$2</f>
        <v>0.12826882845188284</v>
      </c>
      <c r="J7">
        <f>Table2[[#This Row],[Gatsby]]/$F$2</f>
        <v>0.11785061373726821</v>
      </c>
      <c r="K7" s="1" t="s">
        <v>9</v>
      </c>
      <c r="L7">
        <f>IF(Table3[[#This Row],[Candide]]=0, 0, -Table3[[#This Row],[Candide]]*LOG(Table3[[#This Row],[Candide]],2))</f>
        <v>0.32771975043665424</v>
      </c>
      <c r="M7">
        <f>IF(Table3[[#This Row],[Faust]]=0, 0, -Table3[[#This Row],[Faust]]*LOG(Table3[[#This Row],[Faust]],2))</f>
        <v>0.38002943117259952</v>
      </c>
      <c r="N7">
        <f>IF(Table3[[#This Row],[Gatsby]]=0, 0, -Table3[[#This Row],[Gatsby]]*LOG(Table3[[#This Row],[Gatsby]], 2))</f>
        <v>0.3635654691598007</v>
      </c>
      <c r="O7" s="1" t="s">
        <v>9</v>
      </c>
      <c r="P7">
        <f>IF(Table3[[#This Row],[Faust]]=0, 0, -Table3[[#This Row],[Candide]]*LOG(Table3[[#This Row],[Faust]],2))</f>
        <v>0.28928739794110886</v>
      </c>
      <c r="Q7">
        <f>IF(Table3[[#This Row],[Gatsby]]=0, 0, -Table3[[#This Row],[Faust]]*LOG(Table3[[#This Row],[Gatsby]],2))</f>
        <v>0.39570533674649455</v>
      </c>
      <c r="R7">
        <f>IF(Table3[[#This Row],[Gatsby]]=0, 0, -Table3[[#This Row],[Candide]]*LOG(Table3[[#This Row],[Gatsby]],2))</f>
        <v>0.30122026829762344</v>
      </c>
      <c r="S7" s="20">
        <f>IF(Table3[[#This Row],[Candide]]=0, 0, -Table3[[#This Row],[Faust]]*LOG(Table3[[#This Row],[Candide]],2))</f>
        <v>0.43051702642028544</v>
      </c>
      <c r="T7" s="20">
        <f>IF(Table3[[#This Row],[Faust]]=0, 0, -Table3[[#This Row],[Gatsby]]*LOG(Table3[[#This Row],[Faust]],2))</f>
        <v>0.34916278758027719</v>
      </c>
      <c r="U7" s="20">
        <f>IF(Table3[[#This Row],[Candide]]=0, 0, -Table3[[#This Row],[Gatsby]]*LOG(Table3[[#This Row],[Candide]],2))</f>
        <v>0.39554969356414665</v>
      </c>
    </row>
    <row r="8" spans="1:21" x14ac:dyDescent="0.2">
      <c r="C8" s="1" t="s">
        <v>10</v>
      </c>
      <c r="D8">
        <f t="shared" si="2"/>
        <v>515</v>
      </c>
      <c r="E8">
        <f t="shared" si="3"/>
        <v>348</v>
      </c>
      <c r="F8">
        <f t="shared" si="4"/>
        <v>240</v>
      </c>
      <c r="G8" s="1" t="s">
        <v>10</v>
      </c>
      <c r="H8">
        <f>Table2[[#This Row],[Candide]]/$D$2</f>
        <v>1.6459984658655075E-2</v>
      </c>
      <c r="I8">
        <f>Table2[[#This Row],[Faust]]/$E$2</f>
        <v>1.1375523012552301E-2</v>
      </c>
      <c r="J8">
        <f>Table2[[#This Row],[Gatsby]]/$F$2</f>
        <v>7.8349438495690787E-3</v>
      </c>
      <c r="K8" s="1" t="s">
        <v>10</v>
      </c>
      <c r="L8">
        <f>IF(Table3[[#This Row],[Candide]]=0, 0, -Table3[[#This Row],[Candide]]*LOG(Table3[[#This Row],[Candide]],2))</f>
        <v>9.7523651154152319E-2</v>
      </c>
      <c r="M8">
        <f>IF(Table3[[#This Row],[Faust]]=0, 0, -Table3[[#This Row],[Faust]]*LOG(Table3[[#This Row],[Faust]],2))</f>
        <v>7.3462255250455785E-2</v>
      </c>
      <c r="N8">
        <f>IF(Table3[[#This Row],[Gatsby]]=0, 0, -Table3[[#This Row],[Gatsby]]*LOG(Table3[[#This Row],[Gatsby]], 2))</f>
        <v>5.4812180850678835E-2</v>
      </c>
      <c r="O8" s="1" t="s">
        <v>10</v>
      </c>
      <c r="P8">
        <f>IF(Table3[[#This Row],[Faust]]=0, 0, -Table3[[#This Row],[Candide]]*LOG(Table3[[#This Row],[Faust]],2))</f>
        <v>0.10629731864446404</v>
      </c>
      <c r="Q8">
        <f>IF(Table3[[#This Row],[Gatsby]]=0, 0, -Table3[[#This Row],[Faust]]*LOG(Table3[[#This Row],[Gatsby]],2))</f>
        <v>7.958158177092349E-2</v>
      </c>
      <c r="R8">
        <f>IF(Table3[[#This Row],[Gatsby]]=0, 0, -Table3[[#This Row],[Candide]]*LOG(Table3[[#This Row],[Gatsby]],2))</f>
        <v>0.11515177048259541</v>
      </c>
      <c r="S8" s="20">
        <f>IF(Table3[[#This Row],[Candide]]=0, 0, -Table3[[#This Row],[Faust]]*LOG(Table3[[#This Row],[Candide]],2))</f>
        <v>6.7398758928298344E-2</v>
      </c>
      <c r="T8" s="20">
        <f>IF(Table3[[#This Row],[Faust]]=0, 0, -Table3[[#This Row],[Gatsby]]*LOG(Table3[[#This Row],[Faust]],2))</f>
        <v>5.0597466535377549E-2</v>
      </c>
      <c r="U8" s="20">
        <f>IF(Table3[[#This Row],[Candide]]=0, 0, -Table3[[#This Row],[Gatsby]]*LOG(Table3[[#This Row],[Candide]],2))</f>
        <v>4.6421205526213358E-2</v>
      </c>
    </row>
    <row r="9" spans="1:21" x14ac:dyDescent="0.2">
      <c r="C9" s="1" t="s">
        <v>11</v>
      </c>
      <c r="D9">
        <f t="shared" si="2"/>
        <v>574</v>
      </c>
      <c r="E9">
        <f t="shared" si="3"/>
        <v>596</v>
      </c>
      <c r="F9">
        <f t="shared" si="4"/>
        <v>274</v>
      </c>
      <c r="G9" s="1" t="s">
        <v>11</v>
      </c>
      <c r="H9">
        <f>Table2[[#This Row],[Candide]]/$D$2</f>
        <v>1.8345691638967015E-2</v>
      </c>
      <c r="I9">
        <f>Table2[[#This Row],[Faust]]/$E$2</f>
        <v>1.9482217573221758E-2</v>
      </c>
      <c r="J9">
        <f>Table2[[#This Row],[Gatsby]]/$F$2</f>
        <v>8.9448942282580306E-3</v>
      </c>
      <c r="K9" s="1" t="s">
        <v>11</v>
      </c>
      <c r="L9">
        <f>IF(Table3[[#This Row],[Candide]]=0, 0, -Table3[[#This Row],[Candide]]*LOG(Table3[[#This Row],[Candide]],2))</f>
        <v>0.10582556089199903</v>
      </c>
      <c r="M9">
        <f>IF(Table3[[#This Row],[Faust]]=0, 0, -Table3[[#This Row],[Faust]]*LOG(Table3[[#This Row],[Faust]],2))</f>
        <v>0.11069208222283858</v>
      </c>
      <c r="N9">
        <f>IF(Table3[[#This Row],[Gatsby]]=0, 0, -Table3[[#This Row],[Gatsby]]*LOG(Table3[[#This Row],[Gatsby]], 2))</f>
        <v>6.0867499417529378E-2</v>
      </c>
      <c r="O9" s="1" t="s">
        <v>11</v>
      </c>
      <c r="P9">
        <f>IF(Table3[[#This Row],[Faust]]=0, 0, -Table3[[#This Row],[Candide]]*LOG(Table3[[#This Row],[Faust]],2))</f>
        <v>0.10423468476846294</v>
      </c>
      <c r="Q9">
        <f>IF(Table3[[#This Row],[Gatsby]]=0, 0, -Table3[[#This Row],[Faust]]*LOG(Table3[[#This Row],[Gatsby]],2))</f>
        <v>0.13257103287415736</v>
      </c>
      <c r="R9">
        <f>IF(Table3[[#This Row],[Gatsby]]=0, 0, -Table3[[#This Row],[Candide]]*LOG(Table3[[#This Row],[Gatsby]],2))</f>
        <v>0.12483729227578146</v>
      </c>
      <c r="S9" s="20">
        <f>IF(Table3[[#This Row],[Candide]]=0, 0, -Table3[[#This Row],[Faust]]*LOG(Table3[[#This Row],[Candide]],2))</f>
        <v>0.11238151401863643</v>
      </c>
      <c r="T9" s="20">
        <f>IF(Table3[[#This Row],[Faust]]=0, 0, -Table3[[#This Row],[Gatsby]]*LOG(Table3[[#This Row],[Faust]],2))</f>
        <v>5.0822190218728545E-2</v>
      </c>
      <c r="U9" s="20">
        <f>IF(Table3[[#This Row],[Candide]]=0, 0, -Table3[[#This Row],[Gatsby]]*LOG(Table3[[#This Row],[Candide]],2))</f>
        <v>5.1597861092050425E-2</v>
      </c>
    </row>
    <row r="10" spans="1:21" x14ac:dyDescent="0.2">
      <c r="C10" s="1" t="s">
        <v>12</v>
      </c>
      <c r="D10">
        <f t="shared" si="2"/>
        <v>1364</v>
      </c>
      <c r="E10">
        <f t="shared" si="3"/>
        <v>1505</v>
      </c>
      <c r="F10">
        <f t="shared" si="4"/>
        <v>245</v>
      </c>
      <c r="G10" s="1" t="s">
        <v>12</v>
      </c>
      <c r="H10">
        <f>Table2[[#This Row],[Candide]]/$D$2</f>
        <v>4.3594988493991307E-2</v>
      </c>
      <c r="I10">
        <f>Table2[[#This Row],[Faust]]/$E$2</f>
        <v>4.9195868200836823E-2</v>
      </c>
      <c r="J10">
        <f>Table2[[#This Row],[Gatsby]]/$F$2</f>
        <v>7.9981718464351009E-3</v>
      </c>
      <c r="K10" s="1" t="s">
        <v>12</v>
      </c>
      <c r="L10">
        <f>IF(Table3[[#This Row],[Candide]]=0, 0, -Table3[[#This Row],[Candide]]*LOG(Table3[[#This Row],[Candide]],2))</f>
        <v>0.19703600320540673</v>
      </c>
      <c r="M10">
        <f>IF(Table3[[#This Row],[Faust]]=0, 0, -Table3[[#This Row],[Faust]]*LOG(Table3[[#This Row],[Faust]],2))</f>
        <v>0.21377174260205922</v>
      </c>
      <c r="N10">
        <f>IF(Table3[[#This Row],[Gatsby]]=0, 0, -Table3[[#This Row],[Gatsby]]*LOG(Table3[[#This Row],[Gatsby]], 2))</f>
        <v>5.5716176920627435E-2</v>
      </c>
      <c r="O10" s="1" t="s">
        <v>12</v>
      </c>
      <c r="P10">
        <f>IF(Table3[[#This Row],[Faust]]=0, 0, -Table3[[#This Row],[Candide]]*LOG(Table3[[#This Row],[Faust]],2))</f>
        <v>0.18943413339168838</v>
      </c>
      <c r="Q10">
        <f>IF(Table3[[#This Row],[Gatsby]]=0, 0, -Table3[[#This Row],[Faust]]*LOG(Table3[[#This Row],[Gatsby]],2))</f>
        <v>0.34270402650368148</v>
      </c>
      <c r="R10">
        <f>IF(Table3[[#This Row],[Gatsby]]=0, 0, -Table3[[#This Row],[Candide]]*LOG(Table3[[#This Row],[Gatsby]],2))</f>
        <v>0.30368765993275737</v>
      </c>
      <c r="S10" s="20">
        <f>IF(Table3[[#This Row],[Candide]]=0, 0, -Table3[[#This Row],[Faust]]*LOG(Table3[[#This Row],[Candide]],2))</f>
        <v>0.22235026500463204</v>
      </c>
      <c r="T10" s="20">
        <f>IF(Table3[[#This Row],[Faust]]=0, 0, -Table3[[#This Row],[Gatsby]]*LOG(Table3[[#This Row],[Faust]],2))</f>
        <v>3.4754608380182579E-2</v>
      </c>
      <c r="U10" s="20">
        <f>IF(Table3[[#This Row],[Candide]]=0, 0, -Table3[[#This Row],[Gatsby]]*LOG(Table3[[#This Row],[Candide]],2))</f>
        <v>3.6149288439169799E-2</v>
      </c>
    </row>
    <row r="11" spans="1:21" x14ac:dyDescent="0.2">
      <c r="C11" s="1" t="s">
        <v>13</v>
      </c>
      <c r="D11">
        <f t="shared" si="2"/>
        <v>1575</v>
      </c>
      <c r="E11">
        <f t="shared" si="3"/>
        <v>1924</v>
      </c>
      <c r="F11">
        <f t="shared" si="4"/>
        <v>1702</v>
      </c>
      <c r="G11" s="1" t="s">
        <v>13</v>
      </c>
      <c r="H11">
        <f>Table2[[#This Row],[Candide]]/$D$2</f>
        <v>5.0338788033750956E-2</v>
      </c>
      <c r="I11">
        <f>Table2[[#This Row],[Faust]]/$E$2</f>
        <v>6.2892259414225937E-2</v>
      </c>
      <c r="J11">
        <f>Table2[[#This Row],[Gatsby]]/$F$2</f>
        <v>5.5562810133194043E-2</v>
      </c>
      <c r="K11" s="1" t="s">
        <v>13</v>
      </c>
      <c r="L11">
        <f>IF(Table3[[#This Row],[Candide]]=0, 0, -Table3[[#This Row],[Candide]]*LOG(Table3[[#This Row],[Candide]],2))</f>
        <v>0.21707020228991397</v>
      </c>
      <c r="M11">
        <f>IF(Table3[[#This Row],[Faust]]=0, 0, -Table3[[#This Row],[Faust]]*LOG(Table3[[#This Row],[Faust]],2))</f>
        <v>0.25100135477841917</v>
      </c>
      <c r="N11">
        <f>IF(Table3[[#This Row],[Gatsby]]=0, 0, -Table3[[#This Row],[Gatsby]]*LOG(Table3[[#This Row],[Gatsby]], 2))</f>
        <v>0.23168228429829801</v>
      </c>
      <c r="O11" s="1" t="s">
        <v>13</v>
      </c>
      <c r="P11">
        <f>IF(Table3[[#This Row],[Faust]]=0, 0, -Table3[[#This Row],[Candide]]*LOG(Table3[[#This Row],[Faust]],2))</f>
        <v>0.20090078035131242</v>
      </c>
      <c r="Q11">
        <f>IF(Table3[[#This Row],[Gatsby]]=0, 0, -Table3[[#This Row],[Faust]]*LOG(Table3[[#This Row],[Gatsby]],2))</f>
        <v>0.26224415739304119</v>
      </c>
      <c r="R11">
        <f>IF(Table3[[#This Row],[Gatsby]]=0, 0, -Table3[[#This Row],[Candide]]*LOG(Table3[[#This Row],[Gatsby]],2))</f>
        <v>0.20989948803003106</v>
      </c>
      <c r="S11" s="20">
        <f>IF(Table3[[#This Row],[Candide]]=0, 0, -Table3[[#This Row],[Faust]]*LOG(Table3[[#This Row],[Candide]],2))</f>
        <v>0.27120310215578503</v>
      </c>
      <c r="T11" s="20">
        <f>IF(Table3[[#This Row],[Faust]]=0, 0, -Table3[[#This Row],[Gatsby]]*LOG(Table3[[#This Row],[Faust]],2))</f>
        <v>0.22174971528488582</v>
      </c>
      <c r="U11" s="20">
        <f>IF(Table3[[#This Row],[Candide]]=0, 0, -Table3[[#This Row],[Gatsby]]*LOG(Table3[[#This Row],[Candide]],2))</f>
        <v>0.23959715572257878</v>
      </c>
    </row>
    <row r="12" spans="1:21" x14ac:dyDescent="0.2">
      <c r="C12" s="1" t="s">
        <v>18</v>
      </c>
      <c r="D12">
        <f t="shared" si="2"/>
        <v>29</v>
      </c>
      <c r="E12">
        <f t="shared" si="3"/>
        <v>40</v>
      </c>
      <c r="F12">
        <f t="shared" si="4"/>
        <v>75</v>
      </c>
      <c r="G12" s="1" t="s">
        <v>18</v>
      </c>
      <c r="H12">
        <f>Table2[[#This Row],[Candide]]/$D$2</f>
        <v>9.2687292252620812E-4</v>
      </c>
      <c r="I12">
        <f>Table2[[#This Row],[Faust]]/$E$2</f>
        <v>1.307531380753138E-3</v>
      </c>
      <c r="J12">
        <f>Table2[[#This Row],[Gatsby]]/$F$2</f>
        <v>2.4484199529903371E-3</v>
      </c>
      <c r="K12" s="1" t="s">
        <v>18</v>
      </c>
      <c r="L12">
        <f>IF(Table3[[#This Row],[Candide]]=0, 0, -Table3[[#This Row],[Candide]]*LOG(Table3[[#This Row],[Candide]],2))</f>
        <v>9.3385605964764716E-3</v>
      </c>
      <c r="M12">
        <f>IF(Table3[[#This Row],[Faust]]=0, 0, -Table3[[#This Row],[Faust]]*LOG(Table3[[#This Row],[Faust]],2))</f>
        <v>1.2524762961680681E-2</v>
      </c>
      <c r="N12">
        <f>IF(Table3[[#This Row],[Gatsby]]=0, 0, -Table3[[#This Row],[Gatsby]]*LOG(Table3[[#This Row],[Gatsby]], 2))</f>
        <v>2.1237431250867429E-2</v>
      </c>
      <c r="O12" s="1" t="s">
        <v>18</v>
      </c>
      <c r="P12">
        <f>IF(Table3[[#This Row],[Faust]]=0, 0, -Table3[[#This Row],[Candide]]*LOG(Table3[[#This Row],[Faust]],2))</f>
        <v>8.8784589197043011E-3</v>
      </c>
      <c r="Q12">
        <f>IF(Table3[[#This Row],[Gatsby]]=0, 0, -Table3[[#This Row],[Faust]]*LOG(Table3[[#This Row],[Gatsby]],2))</f>
        <v>1.1341439924626412E-2</v>
      </c>
      <c r="R12">
        <f>IF(Table3[[#This Row],[Gatsby]]=0, 0, -Table3[[#This Row],[Candide]]*LOG(Table3[[#This Row],[Gatsby]],2))</f>
        <v>8.039633865260614E-3</v>
      </c>
      <c r="S12" s="20">
        <f>IF(Table3[[#This Row],[Candide]]=0, 0, -Table3[[#This Row],[Faust]]*LOG(Table3[[#This Row],[Candide]],2))</f>
        <v>1.3173824301262255E-2</v>
      </c>
      <c r="T12" s="20">
        <f>IF(Table3[[#This Row],[Faust]]=0, 0, -Table3[[#This Row],[Gatsby]]*LOG(Table3[[#This Row],[Faust]],2))</f>
        <v>2.345326467360943E-2</v>
      </c>
      <c r="U12" s="20">
        <f>IF(Table3[[#This Row],[Candide]]=0, 0, -Table3[[#This Row],[Gatsby]]*LOG(Table3[[#This Row],[Candide]],2))</f>
        <v>2.4668665510590333E-2</v>
      </c>
    </row>
    <row r="13" spans="1:21" x14ac:dyDescent="0.2">
      <c r="C13" s="1" t="s">
        <v>14</v>
      </c>
      <c r="D13">
        <f t="shared" si="2"/>
        <v>232</v>
      </c>
      <c r="E13">
        <f t="shared" si="3"/>
        <v>220</v>
      </c>
      <c r="F13">
        <f t="shared" si="4"/>
        <v>13</v>
      </c>
      <c r="G13" s="1" t="s">
        <v>14</v>
      </c>
      <c r="H13">
        <f>Table2[[#This Row],[Candide]]/$D$2</f>
        <v>7.414983380209665E-3</v>
      </c>
      <c r="I13">
        <f>Table2[[#This Row],[Faust]]/$E$2</f>
        <v>7.1914225941422591E-3</v>
      </c>
      <c r="J13">
        <f>Table2[[#This Row],[Gatsby]]/$F$2</f>
        <v>4.2439279185165841E-4</v>
      </c>
      <c r="K13" s="1" t="s">
        <v>14</v>
      </c>
      <c r="L13">
        <f>IF(Table3[[#This Row],[Candide]]=0, 0, -Table3[[#This Row],[Candide]]*LOG(Table3[[#This Row],[Candide]],2))</f>
        <v>5.2463534631182772E-2</v>
      </c>
      <c r="M13">
        <f>IF(Table3[[#This Row],[Faust]]=0, 0, -Table3[[#This Row],[Faust]]*LOG(Table3[[#This Row],[Faust]],2))</f>
        <v>5.1199384178227621E-2</v>
      </c>
      <c r="N13">
        <f>IF(Table3[[#This Row],[Gatsby]]=0, 0, -Table3[[#This Row],[Gatsby]]*LOG(Table3[[#This Row],[Gatsby]], 2))</f>
        <v>4.7541805610870295E-3</v>
      </c>
      <c r="O13" s="1" t="s">
        <v>14</v>
      </c>
      <c r="P13">
        <f>IF(Table3[[#This Row],[Faust]]=0, 0, -Table3[[#This Row],[Candide]]*LOG(Table3[[#This Row],[Faust]],2))</f>
        <v>5.2791026780676702E-2</v>
      </c>
      <c r="Q13">
        <f>IF(Table3[[#This Row],[Gatsby]]=0, 0, -Table3[[#This Row],[Faust]]*LOG(Table3[[#This Row],[Gatsby]],2))</f>
        <v>8.0560561253791671E-2</v>
      </c>
      <c r="R13">
        <f>IF(Table3[[#This Row],[Gatsby]]=0, 0, -Table3[[#This Row],[Candide]]*LOG(Table3[[#This Row],[Gatsby]],2))</f>
        <v>8.3064958980967274E-2</v>
      </c>
      <c r="S13" s="20">
        <f>IF(Table3[[#This Row],[Candide]]=0, 0, -Table3[[#This Row],[Faust]]*LOG(Table3[[#This Row],[Candide]],2))</f>
        <v>5.0881765874515629E-2</v>
      </c>
      <c r="T13" s="20">
        <f>IF(Table3[[#This Row],[Faust]]=0, 0, -Table3[[#This Row],[Gatsby]]*LOG(Table3[[#This Row],[Faust]],2))</f>
        <v>3.0214674924239084E-3</v>
      </c>
      <c r="U13" s="20">
        <f>IF(Table3[[#This Row],[Candide]]=0, 0, -Table3[[#This Row],[Gatsby]]*LOG(Table3[[#This Row],[Candide]],2))</f>
        <v>3.0027236462806819E-3</v>
      </c>
    </row>
    <row r="14" spans="1:21" x14ac:dyDescent="0.2">
      <c r="C14" s="1" t="s">
        <v>15</v>
      </c>
      <c r="D14">
        <f t="shared" si="2"/>
        <v>995</v>
      </c>
      <c r="E14">
        <f t="shared" si="3"/>
        <v>957</v>
      </c>
      <c r="F14">
        <f t="shared" si="4"/>
        <v>1340</v>
      </c>
      <c r="G14" s="1" t="s">
        <v>15</v>
      </c>
      <c r="H14">
        <f>Table2[[#This Row],[Candide]]/$D$2</f>
        <v>3.1801329583226796E-2</v>
      </c>
      <c r="I14">
        <f>Table2[[#This Row],[Faust]]/$E$2</f>
        <v>3.1282688284518828E-2</v>
      </c>
      <c r="J14">
        <f>Table2[[#This Row],[Gatsby]]/$F$2</f>
        <v>4.3745103160094022E-2</v>
      </c>
      <c r="K14" s="1" t="s">
        <v>15</v>
      </c>
      <c r="L14">
        <f>IF(Table3[[#This Row],[Candide]]=0, 0, -Table3[[#This Row],[Candide]]*LOG(Table3[[#This Row],[Candide]],2))</f>
        <v>0.15820427191816111</v>
      </c>
      <c r="M14">
        <f>IF(Table3[[#This Row],[Faust]]=0, 0, -Table3[[#This Row],[Faust]]*LOG(Table3[[#This Row],[Faust]],2))</f>
        <v>0.15636625754035205</v>
      </c>
      <c r="N14">
        <f>IF(Table3[[#This Row],[Gatsby]]=0, 0, -Table3[[#This Row],[Gatsby]]*LOG(Table3[[#This Row],[Gatsby]], 2))</f>
        <v>0.1974975334204993</v>
      </c>
      <c r="O14" s="1" t="s">
        <v>15</v>
      </c>
      <c r="P14">
        <f>IF(Table3[[#This Row],[Faust]]=0, 0, -Table3[[#This Row],[Candide]]*LOG(Table3[[#This Row],[Faust]],2))</f>
        <v>0.15895868176384717</v>
      </c>
      <c r="Q14">
        <f>IF(Table3[[#This Row],[Gatsby]]=0, 0, -Table3[[#This Row],[Faust]]*LOG(Table3[[#This Row],[Gatsby]],2))</f>
        <v>0.14123303704060897</v>
      </c>
      <c r="R14">
        <f>IF(Table3[[#This Row],[Gatsby]]=0, 0, -Table3[[#This Row],[Candide]]*LOG(Table3[[#This Row],[Gatsby]],2))</f>
        <v>0.14357456488773654</v>
      </c>
      <c r="S14" s="20">
        <f>IF(Table3[[#This Row],[Candide]]=0, 0, -Table3[[#This Row],[Faust]]*LOG(Table3[[#This Row],[Candide]],2))</f>
        <v>0.15562415120861503</v>
      </c>
      <c r="T14" s="20">
        <f>IF(Table3[[#This Row],[Faust]]=0, 0, -Table3[[#This Row],[Gatsby]]*LOG(Table3[[#This Row],[Faust]],2))</f>
        <v>0.21865953477679975</v>
      </c>
      <c r="U14" s="20">
        <f>IF(Table3[[#This Row],[Candide]]=0, 0, -Table3[[#This Row],[Gatsby]]*LOG(Table3[[#This Row],[Candide]],2))</f>
        <v>0.21762178770908178</v>
      </c>
    </row>
    <row r="15" spans="1:21" x14ac:dyDescent="0.2">
      <c r="C15" s="1" t="s">
        <v>16</v>
      </c>
      <c r="D15">
        <f t="shared" si="2"/>
        <v>653</v>
      </c>
      <c r="E15">
        <f t="shared" si="3"/>
        <v>682</v>
      </c>
      <c r="F15">
        <f t="shared" si="4"/>
        <v>700</v>
      </c>
      <c r="G15" s="1" t="s">
        <v>16</v>
      </c>
      <c r="H15">
        <f>Table2[[#This Row],[Candide]]/$D$2</f>
        <v>2.0870621324469447E-2</v>
      </c>
      <c r="I15">
        <f>Table2[[#This Row],[Faust]]/$E$2</f>
        <v>2.2293410041841003E-2</v>
      </c>
      <c r="J15">
        <f>Table2[[#This Row],[Gatsby]]/$F$2</f>
        <v>2.2851919561243144E-2</v>
      </c>
      <c r="K15" s="1" t="s">
        <v>16</v>
      </c>
      <c r="L15">
        <f>IF(Table3[[#This Row],[Candide]]=0, 0, -Table3[[#This Row],[Candide]]*LOG(Table3[[#This Row],[Candide]],2))</f>
        <v>0.1165077941507541</v>
      </c>
      <c r="M15">
        <f>IF(Table3[[#This Row],[Faust]]=0, 0, -Table3[[#This Row],[Faust]]*LOG(Table3[[#This Row],[Faust]],2))</f>
        <v>0.12232926632611091</v>
      </c>
      <c r="N15">
        <f>IF(Table3[[#This Row],[Gatsby]]=0, 0, -Table3[[#This Row],[Gatsby]]*LOG(Table3[[#This Row],[Gatsby]], 2))</f>
        <v>0.12457817260095594</v>
      </c>
      <c r="O15" s="1" t="s">
        <v>16</v>
      </c>
      <c r="P15">
        <f>IF(Table3[[#This Row],[Faust]]=0, 0, -Table3[[#This Row],[Candide]]*LOG(Table3[[#This Row],[Faust]],2))</f>
        <v>0.11452208475960894</v>
      </c>
      <c r="Q15">
        <f>IF(Table3[[#This Row],[Gatsby]]=0, 0, -Table3[[#This Row],[Faust]]*LOG(Table3[[#This Row],[Gatsby]],2))</f>
        <v>0.121533435150306</v>
      </c>
      <c r="R15">
        <f>IF(Table3[[#This Row],[Gatsby]]=0, 0, -Table3[[#This Row],[Candide]]*LOG(Table3[[#This Row],[Gatsby]],2))</f>
        <v>0.1137770443607979</v>
      </c>
      <c r="S15" s="20">
        <f>IF(Table3[[#This Row],[Candide]]=0, 0, -Table3[[#This Row],[Faust]]*LOG(Table3[[#This Row],[Candide]],2))</f>
        <v>0.12445034518583951</v>
      </c>
      <c r="T15" s="20">
        <f>IF(Table3[[#This Row],[Faust]]=0, 0, -Table3[[#This Row],[Gatsby]]*LOG(Table3[[#This Row],[Faust]],2))</f>
        <v>0.12539394147524169</v>
      </c>
      <c r="U15" s="20">
        <f>IF(Table3[[#This Row],[Candide]]=0, 0, -Table3[[#This Row],[Gatsby]]*LOG(Table3[[#This Row],[Candide]],2))</f>
        <v>0.12756815903077043</v>
      </c>
    </row>
    <row r="16" spans="1:21" x14ac:dyDescent="0.2">
      <c r="C16" s="1" t="s">
        <v>17</v>
      </c>
      <c r="D16">
        <f t="shared" si="2"/>
        <v>1770</v>
      </c>
      <c r="E16">
        <f t="shared" si="3"/>
        <v>2411</v>
      </c>
      <c r="F16">
        <f t="shared" si="4"/>
        <v>1838</v>
      </c>
      <c r="G16" s="1" t="s">
        <v>17</v>
      </c>
      <c r="H16">
        <f>Table2[[#This Row],[Candide]]/$D$2</f>
        <v>5.6571209409358218E-2</v>
      </c>
      <c r="I16">
        <f>Table2[[#This Row],[Faust]]/$E$2</f>
        <v>7.8811453974895404E-2</v>
      </c>
      <c r="J16">
        <f>Table2[[#This Row],[Gatsby]]/$F$2</f>
        <v>6.0002611647949858E-2</v>
      </c>
      <c r="K16" s="1" t="s">
        <v>17</v>
      </c>
      <c r="L16">
        <f>IF(Table3[[#This Row],[Candide]]=0, 0, -Table3[[#This Row],[Candide]]*LOG(Table3[[#This Row],[Candide]],2))</f>
        <v>0.23441910863908771</v>
      </c>
      <c r="M16">
        <f>IF(Table3[[#This Row],[Faust]]=0, 0, -Table3[[#This Row],[Faust]]*LOG(Table3[[#This Row],[Faust]],2))</f>
        <v>0.28887951272567647</v>
      </c>
      <c r="N16">
        <f>IF(Table3[[#This Row],[Gatsby]]=0, 0, -Table3[[#This Row],[Gatsby]]*LOG(Table3[[#This Row],[Gatsby]], 2))</f>
        <v>0.24354045385104955</v>
      </c>
      <c r="O16" s="1" t="s">
        <v>17</v>
      </c>
      <c r="P16">
        <f>IF(Table3[[#This Row],[Faust]]=0, 0, -Table3[[#This Row],[Candide]]*LOG(Table3[[#This Row],[Faust]],2))</f>
        <v>0.20735898888102319</v>
      </c>
      <c r="Q16">
        <f>IF(Table3[[#This Row],[Gatsby]]=0, 0, -Table3[[#This Row],[Faust]]*LOG(Table3[[#This Row],[Gatsby]],2))</f>
        <v>0.31988236415977628</v>
      </c>
      <c r="R16">
        <f>IF(Table3[[#This Row],[Gatsby]]=0, 0, -Table3[[#This Row],[Candide]]*LOG(Table3[[#This Row],[Gatsby]],2))</f>
        <v>0.229612972436819</v>
      </c>
      <c r="S16" s="20">
        <f>IF(Table3[[#This Row],[Candide]]=0, 0, -Table3[[#This Row],[Faust]]*LOG(Table3[[#This Row],[Candide]],2))</f>
        <v>0.32657797109582881</v>
      </c>
      <c r="T16" s="20">
        <f>IF(Table3[[#This Row],[Faust]]=0, 0, -Table3[[#This Row],[Gatsby]]*LOG(Table3[[#This Row],[Faust]],2))</f>
        <v>0.2199366252099495</v>
      </c>
      <c r="U16" s="20">
        <f>IF(Table3[[#This Row],[Candide]]=0, 0, -Table3[[#This Row],[Gatsby]]*LOG(Table3[[#This Row],[Candide]],2))</f>
        <v>0.24863811266164901</v>
      </c>
    </row>
    <row r="17" spans="3:21" x14ac:dyDescent="0.2">
      <c r="C17" s="1" t="s">
        <v>19</v>
      </c>
      <c r="D17">
        <f t="shared" si="2"/>
        <v>1905</v>
      </c>
      <c r="E17">
        <f t="shared" si="3"/>
        <v>518</v>
      </c>
      <c r="F17">
        <f t="shared" si="4"/>
        <v>1328</v>
      </c>
      <c r="G17" s="1" t="s">
        <v>19</v>
      </c>
      <c r="H17">
        <f>Table2[[#This Row],[Candide]]/$D$2</f>
        <v>6.0885962669394014E-2</v>
      </c>
      <c r="I17">
        <f>Table2[[#This Row],[Faust]]/$E$2</f>
        <v>1.6932531380753138E-2</v>
      </c>
      <c r="J17">
        <f>Table2[[#This Row],[Gatsby]]/$F$2</f>
        <v>4.3353355967615567E-2</v>
      </c>
      <c r="K17" s="1" t="s">
        <v>19</v>
      </c>
      <c r="L17">
        <f>IF(Table3[[#This Row],[Candide]]=0, 0, -Table3[[#This Row],[Candide]]*LOG(Table3[[#This Row],[Candide]],2))</f>
        <v>0.24584208500259067</v>
      </c>
      <c r="M17">
        <f>IF(Table3[[#This Row],[Faust]]=0, 0, -Table3[[#This Row],[Faust]]*LOG(Table3[[#This Row],[Faust]],2))</f>
        <v>9.9632005541069338E-2</v>
      </c>
      <c r="N17">
        <f>IF(Table3[[#This Row],[Gatsby]]=0, 0, -Table3[[#This Row],[Gatsby]]*LOG(Table3[[#This Row],[Gatsby]], 2))</f>
        <v>0.19629153231693322</v>
      </c>
      <c r="O17" s="1" t="s">
        <v>19</v>
      </c>
      <c r="P17">
        <f>IF(Table3[[#This Row],[Faust]]=0, 0, -Table3[[#This Row],[Candide]]*LOG(Table3[[#This Row],[Faust]],2))</f>
        <v>0.35825656741116219</v>
      </c>
      <c r="Q17">
        <f>IF(Table3[[#This Row],[Gatsby]]=0, 0, -Table3[[#This Row],[Faust]]*LOG(Table3[[#This Row],[Gatsby]],2))</f>
        <v>7.6665634217922218E-2</v>
      </c>
      <c r="R17">
        <f>IF(Table3[[#This Row],[Gatsby]]=0, 0, -Table3[[#This Row],[Candide]]*LOG(Table3[[#This Row],[Gatsby]],2))</f>
        <v>0.27567413507490618</v>
      </c>
      <c r="S17" s="20">
        <f>IF(Table3[[#This Row],[Candide]]=0, 0, -Table3[[#This Row],[Faust]]*LOG(Table3[[#This Row],[Candide]],2))</f>
        <v>6.8369269968177007E-2</v>
      </c>
      <c r="T17" s="20">
        <f>IF(Table3[[#This Row],[Faust]]=0, 0, -Table3[[#This Row],[Gatsby]]*LOG(Table3[[#This Row],[Faust]],2))</f>
        <v>0.25509368356459561</v>
      </c>
      <c r="U17" s="20">
        <f>IF(Table3[[#This Row],[Candide]]=0, 0, -Table3[[#This Row],[Gatsby]]*LOG(Table3[[#This Row],[Candide]],2))</f>
        <v>0.17504986298419309</v>
      </c>
    </row>
    <row r="18" spans="3:21" x14ac:dyDescent="0.2">
      <c r="C18" s="1" t="s">
        <v>20</v>
      </c>
      <c r="D18">
        <f t="shared" si="2"/>
        <v>342</v>
      </c>
      <c r="E18">
        <f t="shared" si="3"/>
        <v>115</v>
      </c>
      <c r="F18">
        <f t="shared" si="4"/>
        <v>579</v>
      </c>
      <c r="G18" s="1" t="s">
        <v>20</v>
      </c>
      <c r="H18">
        <f>Table2[[#This Row],[Candide]]/$D$2</f>
        <v>1.0930708258757351E-2</v>
      </c>
      <c r="I18">
        <f>Table2[[#This Row],[Faust]]/$E$2</f>
        <v>3.7591527196652718E-3</v>
      </c>
      <c r="J18">
        <f>Table2[[#This Row],[Gatsby]]/$F$2</f>
        <v>1.89018020370854E-2</v>
      </c>
      <c r="K18" s="1" t="s">
        <v>20</v>
      </c>
      <c r="L18">
        <f>IF(Table3[[#This Row],[Candide]]=0, 0, -Table3[[#This Row],[Candide]]*LOG(Table3[[#This Row],[Candide]],2))</f>
        <v>7.1218694151102366E-2</v>
      </c>
      <c r="M18">
        <f>IF(Table3[[#This Row],[Faust]]=0, 0, -Table3[[#This Row],[Faust]]*LOG(Table3[[#This Row],[Faust]],2))</f>
        <v>3.0281391444141704E-2</v>
      </c>
      <c r="N18">
        <f>IF(Table3[[#This Row],[Gatsby]]=0, 0, -Table3[[#This Row],[Gatsby]]*LOG(Table3[[#This Row],[Gatsby]], 2))</f>
        <v>0.10821909975099488</v>
      </c>
      <c r="O18" s="1" t="s">
        <v>20</v>
      </c>
      <c r="P18">
        <f>IF(Table3[[#This Row],[Faust]]=0, 0, -Table3[[#This Row],[Candide]]*LOG(Table3[[#This Row],[Faust]],2))</f>
        <v>8.8050973245539496E-2</v>
      </c>
      <c r="Q18">
        <f>IF(Table3[[#This Row],[Gatsby]]=0, 0, -Table3[[#This Row],[Faust]]*LOG(Table3[[#This Row],[Gatsby]],2))</f>
        <v>2.152239888823896E-2</v>
      </c>
      <c r="R18">
        <f>IF(Table3[[#This Row],[Gatsby]]=0, 0, -Table3[[#This Row],[Candide]]*LOG(Table3[[#This Row],[Gatsby]],2))</f>
        <v>6.2581938223805811E-2</v>
      </c>
      <c r="S18" s="20">
        <f>IF(Table3[[#This Row],[Candide]]=0, 0, -Table3[[#This Row],[Faust]]*LOG(Table3[[#This Row],[Candide]],2))</f>
        <v>2.4492644160970533E-2</v>
      </c>
      <c r="T18" s="20">
        <f>IF(Table3[[#This Row],[Faust]]=0, 0, -Table3[[#This Row],[Gatsby]]*LOG(Table3[[#This Row],[Faust]],2))</f>
        <v>0.15226113679564052</v>
      </c>
      <c r="U18" s="20">
        <f>IF(Table3[[#This Row],[Candide]]=0, 0, -Table3[[#This Row],[Gatsby]]*LOG(Table3[[#This Row],[Candide]],2))</f>
        <v>0.12315411099782714</v>
      </c>
    </row>
    <row r="19" spans="3:21" x14ac:dyDescent="0.2">
      <c r="C19" s="1" t="s">
        <v>21</v>
      </c>
      <c r="D19">
        <f t="shared" si="2"/>
        <v>23</v>
      </c>
      <c r="E19">
        <f t="shared" si="3"/>
        <v>9</v>
      </c>
      <c r="F19">
        <f t="shared" si="4"/>
        <v>283</v>
      </c>
      <c r="G19" s="1" t="s">
        <v>21</v>
      </c>
      <c r="H19">
        <f>Table2[[#This Row],[Candide]]/$D$2</f>
        <v>7.3510611096906165E-4</v>
      </c>
      <c r="I19">
        <f>Table2[[#This Row],[Faust]]/$E$2</f>
        <v>2.9419456066945608E-4</v>
      </c>
      <c r="J19">
        <f>Table2[[#This Row],[Gatsby]]/$F$2</f>
        <v>9.2387046226168716E-3</v>
      </c>
      <c r="K19" s="1" t="s">
        <v>21</v>
      </c>
      <c r="L19">
        <f>IF(Table3[[#This Row],[Candide]]=0, 0, -Table3[[#This Row],[Candide]]*LOG(Table3[[#This Row],[Candide]],2))</f>
        <v>7.6522780902437502E-3</v>
      </c>
      <c r="M19">
        <f>IF(Table3[[#This Row],[Faust]]=0, 0, -Table3[[#This Row],[Faust]]*LOG(Table3[[#This Row],[Faust]],2))</f>
        <v>3.451179271013531E-3</v>
      </c>
      <c r="N19">
        <f>IF(Table3[[#This Row],[Gatsby]]=0, 0, -Table3[[#This Row],[Gatsby]]*LOG(Table3[[#This Row],[Gatsby]], 2))</f>
        <v>6.243603152491424E-2</v>
      </c>
      <c r="O19" s="1" t="s">
        <v>21</v>
      </c>
      <c r="P19">
        <f>IF(Table3[[#This Row],[Faust]]=0, 0, -Table3[[#This Row],[Candide]]*LOG(Table3[[#This Row],[Faust]],2))</f>
        <v>8.6234870094088496E-3</v>
      </c>
      <c r="Q19">
        <f>IF(Table3[[#This Row],[Gatsby]]=0, 0, -Table3[[#This Row],[Faust]]*LOG(Table3[[#This Row],[Gatsby]],2))</f>
        <v>1.9881944076282857E-3</v>
      </c>
      <c r="R19">
        <f>IF(Table3[[#This Row],[Gatsby]]=0, 0, -Table3[[#This Row],[Candide]]*LOG(Table3[[#This Row],[Gatsby]],2))</f>
        <v>4.9679159788551652E-3</v>
      </c>
      <c r="S19" s="20">
        <f>IF(Table3[[#This Row],[Candide]]=0, 0, -Table3[[#This Row],[Faust]]*LOG(Table3[[#This Row],[Candide]],2))</f>
        <v>3.0624947300628724E-3</v>
      </c>
      <c r="T19" s="20">
        <f>IF(Table3[[#This Row],[Faust]]=0, 0, -Table3[[#This Row],[Gatsby]]*LOG(Table3[[#This Row],[Faust]],2))</f>
        <v>0.10837870629571618</v>
      </c>
      <c r="U19" s="20">
        <f>IF(Table3[[#This Row],[Candide]]=0, 0, -Table3[[#This Row],[Gatsby]]*LOG(Table3[[#This Row],[Candide]],2))</f>
        <v>9.617269658211311E-2</v>
      </c>
    </row>
    <row r="20" spans="3:21" x14ac:dyDescent="0.2">
      <c r="C20" s="1" t="s">
        <v>22</v>
      </c>
      <c r="D20">
        <f t="shared" si="2"/>
        <v>1402</v>
      </c>
      <c r="E20">
        <f t="shared" si="3"/>
        <v>1725</v>
      </c>
      <c r="F20">
        <f t="shared" si="4"/>
        <v>1457</v>
      </c>
      <c r="G20" s="1" t="s">
        <v>22</v>
      </c>
      <c r="H20">
        <f>Table2[[#This Row],[Candide]]/$D$2</f>
        <v>4.4809511633853237E-2</v>
      </c>
      <c r="I20">
        <f>Table2[[#This Row],[Faust]]/$E$2</f>
        <v>5.6387290794979082E-2</v>
      </c>
      <c r="J20">
        <f>Table2[[#This Row],[Gatsby]]/$F$2</f>
        <v>4.7564638286758942E-2</v>
      </c>
      <c r="K20" s="1" t="s">
        <v>22</v>
      </c>
      <c r="L20">
        <f>IF(Table3[[#This Row],[Candide]]=0, 0, -Table3[[#This Row],[Candide]]*LOG(Table3[[#This Row],[Candide]],2))</f>
        <v>0.20074890577169191</v>
      </c>
      <c r="M20">
        <f>IF(Table3[[#This Row],[Faust]]=0, 0, -Table3[[#This Row],[Faust]]*LOG(Table3[[#This Row],[Faust]],2))</f>
        <v>0.233921895543379</v>
      </c>
      <c r="N20">
        <f>IF(Table3[[#This Row],[Gatsby]]=0, 0, -Table3[[#This Row],[Gatsby]]*LOG(Table3[[#This Row],[Gatsby]], 2))</f>
        <v>0.20899744066723328</v>
      </c>
      <c r="O20" s="1" t="s">
        <v>22</v>
      </c>
      <c r="P20">
        <f>IF(Table3[[#This Row],[Faust]]=0, 0, -Table3[[#This Row],[Candide]]*LOG(Table3[[#This Row],[Faust]],2))</f>
        <v>0.18589163891338065</v>
      </c>
      <c r="Q20">
        <f>IF(Table3[[#This Row],[Gatsby]]=0, 0, -Table3[[#This Row],[Faust]]*LOG(Table3[[#This Row],[Gatsby]],2))</f>
        <v>0.24776388272441305</v>
      </c>
      <c r="R20">
        <f>IF(Table3[[#This Row],[Gatsby]]=0, 0, -Table3[[#This Row],[Candide]]*LOG(Table3[[#This Row],[Gatsby]],2))</f>
        <v>0.1968915056719982</v>
      </c>
      <c r="S20" s="20">
        <f>IF(Table3[[#This Row],[Candide]]=0, 0, -Table3[[#This Row],[Faust]]*LOG(Table3[[#This Row],[Candide]],2))</f>
        <v>0.25261794904210272</v>
      </c>
      <c r="T20" s="20">
        <f>IF(Table3[[#This Row],[Faust]]=0, 0, -Table3[[#This Row],[Gatsby]]*LOG(Table3[[#This Row],[Faust]],2))</f>
        <v>0.19732124370594101</v>
      </c>
      <c r="U20" s="20">
        <f>IF(Table3[[#This Row],[Candide]]=0, 0, -Table3[[#This Row],[Gatsby]]*LOG(Table3[[#This Row],[Candide]],2))</f>
        <v>0.21309201420261242</v>
      </c>
    </row>
    <row r="21" spans="3:21" x14ac:dyDescent="0.2">
      <c r="C21" s="1" t="s">
        <v>23</v>
      </c>
      <c r="D21">
        <f t="shared" si="2"/>
        <v>1499</v>
      </c>
      <c r="E21">
        <f t="shared" si="3"/>
        <v>1357</v>
      </c>
      <c r="F21">
        <f t="shared" si="4"/>
        <v>1848</v>
      </c>
      <c r="G21" s="1" t="s">
        <v>23</v>
      </c>
      <c r="H21">
        <f>Table2[[#This Row],[Candide]]/$D$2</f>
        <v>4.7909741754027103E-2</v>
      </c>
      <c r="I21">
        <f>Table2[[#This Row],[Faust]]/$E$2</f>
        <v>4.4358002092050208E-2</v>
      </c>
      <c r="J21">
        <f>Table2[[#This Row],[Gatsby]]/$F$2</f>
        <v>6.0329067641681902E-2</v>
      </c>
      <c r="K21" s="1" t="s">
        <v>23</v>
      </c>
      <c r="L21">
        <f>IF(Table3[[#This Row],[Candide]]=0, 0, -Table3[[#This Row],[Candide]]*LOG(Table3[[#This Row],[Candide]],2))</f>
        <v>0.21001413295911669</v>
      </c>
      <c r="M21">
        <f>IF(Table3[[#This Row],[Faust]]=0, 0, -Table3[[#This Row],[Faust]]*LOG(Table3[[#This Row],[Faust]],2))</f>
        <v>0.19937421764109867</v>
      </c>
      <c r="N21">
        <f>IF(Table3[[#This Row],[Gatsby]]=0, 0, -Table3[[#This Row],[Gatsby]]*LOG(Table3[[#This Row],[Gatsby]], 2))</f>
        <v>0.24439322817792578</v>
      </c>
      <c r="O21" s="1" t="s">
        <v>23</v>
      </c>
      <c r="P21">
        <f>IF(Table3[[#This Row],[Faust]]=0, 0, -Table3[[#This Row],[Candide]]*LOG(Table3[[#This Row],[Faust]],2))</f>
        <v>0.21533808623243031</v>
      </c>
      <c r="Q21">
        <f>IF(Table3[[#This Row],[Gatsby]]=0, 0, -Table3[[#This Row],[Faust]]*LOG(Table3[[#This Row],[Gatsby]],2))</f>
        <v>0.17969439526543141</v>
      </c>
      <c r="R21">
        <f>IF(Table3[[#This Row],[Gatsby]]=0, 0, -Table3[[#This Row],[Candide]]*LOG(Table3[[#This Row],[Gatsby]],2))</f>
        <v>0.19408250294834187</v>
      </c>
      <c r="S21" s="20">
        <f>IF(Table3[[#This Row],[Candide]]=0, 0, -Table3[[#This Row],[Faust]]*LOG(Table3[[#This Row],[Candide]],2))</f>
        <v>0.19444495019382063</v>
      </c>
      <c r="T21" s="20">
        <f>IF(Table3[[#This Row],[Faust]]=0, 0, -Table3[[#This Row],[Gatsby]]*LOG(Table3[[#This Row],[Faust]],2))</f>
        <v>0.2711587559132404</v>
      </c>
      <c r="U21" s="20">
        <f>IF(Table3[[#This Row],[Candide]]=0, 0, -Table3[[#This Row],[Gatsby]]*LOG(Table3[[#This Row],[Candide]],2))</f>
        <v>0.26445470940019711</v>
      </c>
    </row>
    <row r="22" spans="3:21" x14ac:dyDescent="0.2">
      <c r="C22" s="1" t="s">
        <v>24</v>
      </c>
      <c r="D22">
        <f t="shared" si="2"/>
        <v>2181</v>
      </c>
      <c r="E22">
        <f t="shared" si="3"/>
        <v>1542</v>
      </c>
      <c r="F22">
        <f t="shared" si="4"/>
        <v>1807</v>
      </c>
      <c r="G22" s="1" t="s">
        <v>24</v>
      </c>
      <c r="H22">
        <f>Table2[[#This Row],[Candide]]/$D$2</f>
        <v>6.9707236001022757E-2</v>
      </c>
      <c r="I22">
        <f>Table2[[#This Row],[Faust]]/$E$2</f>
        <v>5.040533472803347E-2</v>
      </c>
      <c r="J22">
        <f>Table2[[#This Row],[Gatsby]]/$F$2</f>
        <v>5.8990598067380516E-2</v>
      </c>
      <c r="K22" s="1" t="s">
        <v>24</v>
      </c>
      <c r="L22">
        <f>IF(Table3[[#This Row],[Candide]]=0, 0, -Table3[[#This Row],[Candide]]*LOG(Table3[[#This Row],[Candide]],2))</f>
        <v>0.26785338397619141</v>
      </c>
      <c r="M22">
        <f>IF(Table3[[#This Row],[Faust]]=0, 0, -Table3[[#This Row],[Faust]]*LOG(Table3[[#This Row],[Faust]],2))</f>
        <v>0.21726109397676946</v>
      </c>
      <c r="N22">
        <f>IF(Table3[[#This Row],[Gatsby]]=0, 0, -Table3[[#This Row],[Gatsby]]*LOG(Table3[[#This Row],[Gatsby]], 2))</f>
        <v>0.24088050650469803</v>
      </c>
      <c r="O22" s="1" t="s">
        <v>24</v>
      </c>
      <c r="P22">
        <f>IF(Table3[[#This Row],[Faust]]=0, 0, -Table3[[#This Row],[Candide]]*LOG(Table3[[#This Row],[Faust]],2))</f>
        <v>0.30045768832591802</v>
      </c>
      <c r="Q22">
        <f>IF(Table3[[#This Row],[Gatsby]]=0, 0, -Table3[[#This Row],[Faust]]*LOG(Table3[[#This Row],[Gatsby]],2))</f>
        <v>0.20582368983543853</v>
      </c>
      <c r="R22">
        <f>IF(Table3[[#This Row],[Gatsby]]=0, 0, -Table3[[#This Row],[Candide]]*LOG(Table3[[#This Row],[Gatsby]],2))</f>
        <v>0.28464051671064017</v>
      </c>
      <c r="S22" s="20">
        <f>IF(Table3[[#This Row],[Candide]]=0, 0, -Table3[[#This Row],[Faust]]*LOG(Table3[[#This Row],[Candide]],2))</f>
        <v>0.19368490635833432</v>
      </c>
      <c r="T22" s="20">
        <f>IF(Table3[[#This Row],[Faust]]=0, 0, -Table3[[#This Row],[Gatsby]]*LOG(Table3[[#This Row],[Faust]],2))</f>
        <v>0.25426598076602069</v>
      </c>
      <c r="U22" s="20">
        <f>IF(Table3[[#This Row],[Candide]]=0, 0, -Table3[[#This Row],[Gatsby]]*LOG(Table3[[#This Row],[Candide]],2))</f>
        <v>0.22667419082425555</v>
      </c>
    </row>
    <row r="23" spans="3:21" x14ac:dyDescent="0.2">
      <c r="C23" s="1" t="s">
        <v>25</v>
      </c>
      <c r="D23">
        <f t="shared" si="2"/>
        <v>710</v>
      </c>
      <c r="E23">
        <f t="shared" si="3"/>
        <v>937</v>
      </c>
      <c r="F23">
        <f t="shared" si="4"/>
        <v>1520</v>
      </c>
      <c r="G23" s="1" t="s">
        <v>25</v>
      </c>
      <c r="H23">
        <f>Table2[[#This Row],[Candide]]/$D$2</f>
        <v>2.2692406034262338E-2</v>
      </c>
      <c r="I23">
        <f>Table2[[#This Row],[Faust]]/$E$2</f>
        <v>3.0628922594142259E-2</v>
      </c>
      <c r="J23">
        <f>Table2[[#This Row],[Gatsby]]/$F$2</f>
        <v>4.9621311047270827E-2</v>
      </c>
      <c r="K23" s="1" t="s">
        <v>25</v>
      </c>
      <c r="L23">
        <f>IF(Table3[[#This Row],[Candide]]=0, 0, -Table3[[#This Row],[Candide]]*LOG(Table3[[#This Row],[Candide]],2))</f>
        <v>0.12393790240673869</v>
      </c>
      <c r="M23">
        <f>IF(Table3[[#This Row],[Faust]]=0, 0, -Table3[[#This Row],[Faust]]*LOG(Table3[[#This Row],[Faust]],2))</f>
        <v>0.15403167466629522</v>
      </c>
      <c r="N23">
        <f>IF(Table3[[#This Row],[Gatsby]]=0, 0, -Table3[[#This Row],[Gatsby]]*LOG(Table3[[#This Row],[Gatsby]], 2))</f>
        <v>0.21500399685000013</v>
      </c>
      <c r="O23" s="1" t="s">
        <v>25</v>
      </c>
      <c r="P23">
        <f>IF(Table3[[#This Row],[Faust]]=0, 0, -Table3[[#This Row],[Candide]]*LOG(Table3[[#This Row],[Faust]],2))</f>
        <v>0.11411923788443842</v>
      </c>
      <c r="Q23">
        <f>IF(Table3[[#This Row],[Gatsby]]=0, 0, -Table3[[#This Row],[Faust]]*LOG(Table3[[#This Row],[Gatsby]],2))</f>
        <v>0.13271194649968956</v>
      </c>
      <c r="R23">
        <f>IF(Table3[[#This Row],[Gatsby]]=0, 0, -Table3[[#This Row],[Candide]]*LOG(Table3[[#This Row],[Gatsby]],2))</f>
        <v>9.8323842972661765E-2</v>
      </c>
      <c r="S23" s="20">
        <f>IF(Table3[[#This Row],[Candide]]=0, 0, -Table3[[#This Row],[Faust]]*LOG(Table3[[#This Row],[Candide]],2))</f>
        <v>0.16728435114217521</v>
      </c>
      <c r="T23" s="20">
        <f>IF(Table3[[#This Row],[Faust]]=0, 0, -Table3[[#This Row],[Gatsby]]*LOG(Table3[[#This Row],[Faust]],2))</f>
        <v>0.24954366632569777</v>
      </c>
      <c r="U23" s="20">
        <f>IF(Table3[[#This Row],[Candide]]=0, 0, -Table3[[#This Row],[Gatsby]]*LOG(Table3[[#This Row],[Candide]],2))</f>
        <v>0.271014065083513</v>
      </c>
    </row>
    <row r="24" spans="3:21" x14ac:dyDescent="0.2">
      <c r="C24" s="1" t="s">
        <v>26</v>
      </c>
      <c r="D24">
        <f t="shared" si="2"/>
        <v>249</v>
      </c>
      <c r="E24">
        <f t="shared" si="3"/>
        <v>130</v>
      </c>
      <c r="F24">
        <f t="shared" si="4"/>
        <v>380</v>
      </c>
      <c r="G24" s="1" t="s">
        <v>26</v>
      </c>
      <c r="H24">
        <f>Table2[[#This Row],[Candide]]/$D$2</f>
        <v>7.9583226796215798E-3</v>
      </c>
      <c r="I24">
        <f>Table2[[#This Row],[Faust]]/$E$2</f>
        <v>4.2494769874476986E-3</v>
      </c>
      <c r="J24">
        <f>Table2[[#This Row],[Gatsby]]/$F$2</f>
        <v>1.2405327761817707E-2</v>
      </c>
      <c r="K24" s="1" t="s">
        <v>26</v>
      </c>
      <c r="L24">
        <f>IF(Table3[[#This Row],[Candide]]=0, 0, -Table3[[#This Row],[Candide]]*LOG(Table3[[#This Row],[Candide]],2))</f>
        <v>5.5495929822217828E-2</v>
      </c>
      <c r="M24">
        <f>IF(Table3[[#This Row],[Faust]]=0, 0, -Table3[[#This Row],[Faust]]*LOG(Table3[[#This Row],[Faust]],2))</f>
        <v>3.3479500174679599E-2</v>
      </c>
      <c r="N24">
        <f>IF(Table3[[#This Row],[Gatsby]]=0, 0, -Table3[[#This Row],[Gatsby]]*LOG(Table3[[#This Row],[Gatsby]], 2))</f>
        <v>7.8561654736135453E-2</v>
      </c>
      <c r="O24" s="1" t="s">
        <v>26</v>
      </c>
      <c r="P24">
        <f>IF(Table3[[#This Row],[Faust]]=0, 0, -Table3[[#This Row],[Candide]]*LOG(Table3[[#This Row],[Faust]],2))</f>
        <v>6.269963723290467E-2</v>
      </c>
      <c r="Q24">
        <f>IF(Table3[[#This Row],[Gatsby]]=0, 0, -Table3[[#This Row],[Faust]]*LOG(Table3[[#This Row],[Gatsby]],2))</f>
        <v>2.6911497245930234E-2</v>
      </c>
      <c r="R24">
        <f>IF(Table3[[#This Row],[Gatsby]]=0, 0, -Table3[[#This Row],[Candide]]*LOG(Table3[[#This Row],[Gatsby]],2))</f>
        <v>5.0399232542613269E-2</v>
      </c>
      <c r="S24" s="20">
        <f>IF(Table3[[#This Row],[Candide]]=0, 0, -Table3[[#This Row],[Faust]]*LOG(Table3[[#This Row],[Candide]],2))</f>
        <v>2.9632962392992693E-2</v>
      </c>
      <c r="T24" s="20">
        <f>IF(Table3[[#This Row],[Faust]]=0, 0, -Table3[[#This Row],[Gatsby]]*LOG(Table3[[#This Row],[Faust]],2))</f>
        <v>9.7735362303534593E-2</v>
      </c>
      <c r="U24" s="20">
        <f>IF(Table3[[#This Row],[Candide]]=0, 0, -Table3[[#This Row],[Gatsby]]*LOG(Table3[[#This Row],[Candide]],2))</f>
        <v>8.6506318806889818E-2</v>
      </c>
    </row>
    <row r="25" spans="3:21" x14ac:dyDescent="0.2">
      <c r="C25" s="1" t="s">
        <v>27</v>
      </c>
      <c r="D25">
        <f t="shared" si="2"/>
        <v>573</v>
      </c>
      <c r="E25">
        <f t="shared" si="3"/>
        <v>349</v>
      </c>
      <c r="F25">
        <f t="shared" si="4"/>
        <v>14</v>
      </c>
      <c r="G25" s="1" t="s">
        <v>27</v>
      </c>
      <c r="H25">
        <f>Table2[[#This Row],[Candide]]/$D$2</f>
        <v>1.8313730503707493E-2</v>
      </c>
      <c r="I25">
        <f>Table2[[#This Row],[Faust]]/$E$2</f>
        <v>1.140821129707113E-2</v>
      </c>
      <c r="J25">
        <f>Table2[[#This Row],[Gatsby]]/$F$2</f>
        <v>4.5703839122486289E-4</v>
      </c>
      <c r="K25" s="1" t="s">
        <v>27</v>
      </c>
      <c r="L25">
        <f>IF(Table3[[#This Row],[Candide]]=0, 0, -Table3[[#This Row],[Candide]]*LOG(Table3[[#This Row],[Candide]],2))</f>
        <v>0.10568726578567729</v>
      </c>
      <c r="M25">
        <f>IF(Table3[[#This Row],[Faust]]=0, 0, -Table3[[#This Row],[Faust]]*LOG(Table3[[#This Row],[Faust]],2))</f>
        <v>7.3626126766413197E-2</v>
      </c>
      <c r="N25">
        <f>IF(Table3[[#This Row],[Gatsby]]=0, 0, -Table3[[#This Row],[Gatsby]]*LOG(Table3[[#This Row],[Gatsby]], 2))</f>
        <v>5.0710224052982434E-3</v>
      </c>
      <c r="O25" s="1" t="s">
        <v>27</v>
      </c>
      <c r="P25">
        <f>IF(Table3[[#This Row],[Faust]]=0, 0, -Table3[[#This Row],[Candide]]*LOG(Table3[[#This Row],[Faust]],2))</f>
        <v>0.11819285324580793</v>
      </c>
      <c r="Q25">
        <f>IF(Table3[[#This Row],[Gatsby]]=0, 0, -Table3[[#This Row],[Faust]]*LOG(Table3[[#This Row],[Gatsby]],2))</f>
        <v>0.12657863366091143</v>
      </c>
      <c r="R25">
        <f>IF(Table3[[#This Row],[Gatsby]]=0, 0, -Table3[[#This Row],[Candide]]*LOG(Table3[[#This Row],[Gatsby]],2))</f>
        <v>0.20319811090706136</v>
      </c>
      <c r="S25" s="20">
        <f>IF(Table3[[#This Row],[Candide]]=0, 0, -Table3[[#This Row],[Faust]]*LOG(Table3[[#This Row],[Candide]],2))</f>
        <v>6.5835994433173312E-2</v>
      </c>
      <c r="T25" s="20">
        <f>IF(Table3[[#This Row],[Faust]]=0, 0, -Table3[[#This Row],[Gatsby]]*LOG(Table3[[#This Row],[Faust]],2))</f>
        <v>2.9496268655260956E-3</v>
      </c>
      <c r="U25" s="20">
        <f>IF(Table3[[#This Row],[Candide]]=0, 0, -Table3[[#This Row],[Gatsby]]*LOG(Table3[[#This Row],[Candide]],2))</f>
        <v>2.637536787923236E-3</v>
      </c>
    </row>
    <row r="26" spans="3:21" x14ac:dyDescent="0.2">
      <c r="C26" s="1" t="s">
        <v>28</v>
      </c>
      <c r="D26">
        <f t="shared" si="2"/>
        <v>30</v>
      </c>
      <c r="E26">
        <f t="shared" si="3"/>
        <v>2</v>
      </c>
      <c r="F26">
        <f t="shared" si="4"/>
        <v>93</v>
      </c>
      <c r="G26" s="1" t="s">
        <v>28</v>
      </c>
      <c r="H26">
        <f>Table2[[#This Row],[Candide]]/$D$2</f>
        <v>9.5883405778573257E-4</v>
      </c>
      <c r="I26">
        <f>Table2[[#This Row],[Faust]]/$E$2</f>
        <v>6.5376569037656898E-5</v>
      </c>
      <c r="J26">
        <f>Table2[[#This Row],[Gatsby]]/$F$2</f>
        <v>3.0360407417080178E-3</v>
      </c>
      <c r="K26" s="1" t="s">
        <v>28</v>
      </c>
      <c r="L26">
        <f>IF(Table3[[#This Row],[Candide]]=0, 0, -Table3[[#This Row],[Candide]]*LOG(Table3[[#This Row],[Candide]],2))</f>
        <v>9.6136837366956295E-3</v>
      </c>
      <c r="M26">
        <f>IF(Table3[[#This Row],[Faust]]=0, 0, -Table3[[#This Row],[Faust]]*LOG(Table3[[#This Row],[Faust]],2))</f>
        <v>9.0879097855522679E-4</v>
      </c>
      <c r="N26">
        <f>IF(Table3[[#This Row],[Gatsby]]=0, 0, -Table3[[#This Row],[Gatsby]]*LOG(Table3[[#This Row],[Gatsby]], 2))</f>
        <v>2.5392209501110541E-2</v>
      </c>
      <c r="O26" s="1" t="s">
        <v>28</v>
      </c>
      <c r="P26">
        <f>IF(Table3[[#This Row],[Faust]]=0, 0, -Table3[[#This Row],[Candide]]*LOG(Table3[[#This Row],[Faust]],2))</f>
        <v>1.3328624528235185E-2</v>
      </c>
      <c r="Q26">
        <f>IF(Table3[[#This Row],[Gatsby]]=0, 0, -Table3[[#This Row],[Faust]]*LOG(Table3[[#This Row],[Gatsby]],2))</f>
        <v>5.4678302391096556E-4</v>
      </c>
      <c r="R26">
        <f>IF(Table3[[#This Row],[Gatsby]]=0, 0, -Table3[[#This Row],[Candide]]*LOG(Table3[[#This Row],[Gatsby]],2))</f>
        <v>8.0192979420948569E-3</v>
      </c>
      <c r="S26" s="20">
        <f>IF(Table3[[#This Row],[Candide]]=0, 0, -Table3[[#This Row],[Faust]]*LOG(Table3[[#This Row],[Candide]],2))</f>
        <v>6.5549367319066602E-4</v>
      </c>
      <c r="T26" s="20">
        <f>IF(Table3[[#This Row],[Faust]]=0, 0, -Table3[[#This Row],[Gatsby]]*LOG(Table3[[#This Row],[Faust]],2))</f>
        <v>4.2203597974086238E-2</v>
      </c>
      <c r="U26" s="20">
        <f>IF(Table3[[#This Row],[Candide]]=0, 0, -Table3[[#This Row],[Gatsby]]*LOG(Table3[[#This Row],[Candide]],2))</f>
        <v>3.0440653693411198E-2</v>
      </c>
    </row>
    <row r="27" spans="3:21" x14ac:dyDescent="0.2">
      <c r="C27" s="1" t="s">
        <v>29</v>
      </c>
      <c r="D27">
        <f t="shared" si="2"/>
        <v>550</v>
      </c>
      <c r="E27">
        <f t="shared" si="3"/>
        <v>50</v>
      </c>
      <c r="F27">
        <f t="shared" si="4"/>
        <v>77</v>
      </c>
      <c r="G27" s="1" t="s">
        <v>29</v>
      </c>
      <c r="H27">
        <f>Table2[[#This Row],[Candide]]/$D$2</f>
        <v>1.757862439273843E-2</v>
      </c>
      <c r="I27">
        <f>Table2[[#This Row],[Faust]]/$E$2</f>
        <v>1.6344142259414225E-3</v>
      </c>
      <c r="J27">
        <f>Table2[[#This Row],[Gatsby]]/$F$2</f>
        <v>2.5137111517367461E-3</v>
      </c>
      <c r="K27" s="1" t="s">
        <v>29</v>
      </c>
      <c r="L27">
        <f>IF(Table3[[#This Row],[Candide]]=0, 0, -Table3[[#This Row],[Candide]]*LOG(Table3[[#This Row],[Candide]],2))</f>
        <v>0.1024839780994793</v>
      </c>
      <c r="M27">
        <f>IF(Table3[[#This Row],[Faust]]=0, 0, -Table3[[#This Row],[Faust]]*LOG(Table3[[#This Row],[Faust]],2))</f>
        <v>1.5129789844086729E-2</v>
      </c>
      <c r="N27">
        <f>IF(Table3[[#This Row],[Gatsby]]=0, 0, -Table3[[#This Row],[Gatsby]]*LOG(Table3[[#This Row],[Gatsby]], 2))</f>
        <v>2.1708322542437809E-2</v>
      </c>
      <c r="O27" s="1" t="s">
        <v>29</v>
      </c>
      <c r="P27">
        <f>IF(Table3[[#This Row],[Faust]]=0, 0, -Table3[[#This Row],[Candide]]*LOG(Table3[[#This Row],[Faust]],2))</f>
        <v>0.16272551265703508</v>
      </c>
      <c r="Q27">
        <f>IF(Table3[[#This Row],[Gatsby]]=0, 0, -Table3[[#This Row],[Faust]]*LOG(Table3[[#This Row],[Gatsby]],2))</f>
        <v>1.4114744711289323E-2</v>
      </c>
      <c r="R27">
        <f>IF(Table3[[#This Row],[Gatsby]]=0, 0, -Table3[[#This Row],[Candide]]*LOG(Table3[[#This Row],[Gatsby]],2))</f>
        <v>0.15180839210832883</v>
      </c>
      <c r="S27" s="20">
        <f>IF(Table3[[#This Row],[Candide]]=0, 0, -Table3[[#This Row],[Faust]]*LOG(Table3[[#This Row],[Candide]],2))</f>
        <v>9.5286905274596691E-3</v>
      </c>
      <c r="T27" s="20">
        <f>IF(Table3[[#This Row],[Faust]]=0, 0, -Table3[[#This Row],[Gatsby]]*LOG(Table3[[#This Row],[Faust]],2))</f>
        <v>2.3269450822729954E-2</v>
      </c>
      <c r="U27" s="20">
        <f>IF(Table3[[#This Row],[Candide]]=0, 0, -Table3[[#This Row],[Gatsby]]*LOG(Table3[[#This Row],[Candide]],2))</f>
        <v>1.4655021511775633E-2</v>
      </c>
    </row>
    <row r="28" spans="3:21" x14ac:dyDescent="0.2">
      <c r="C28" s="1" t="s">
        <v>30</v>
      </c>
      <c r="D28">
        <f t="shared" si="2"/>
        <v>18</v>
      </c>
      <c r="E28">
        <f t="shared" si="3"/>
        <v>219</v>
      </c>
      <c r="F28">
        <f t="shared" si="4"/>
        <v>27</v>
      </c>
      <c r="G28" s="1" t="s">
        <v>30</v>
      </c>
      <c r="H28">
        <f>Table2[[#This Row],[Candide]]/$D$2</f>
        <v>5.7530043467143952E-4</v>
      </c>
      <c r="I28">
        <f>Table2[[#This Row],[Faust]]/$E$2</f>
        <v>7.158734309623431E-3</v>
      </c>
      <c r="J28">
        <f>Table2[[#This Row],[Gatsby]]/$F$2</f>
        <v>8.8143118307652129E-4</v>
      </c>
      <c r="K28" s="1" t="s">
        <v>30</v>
      </c>
      <c r="L28">
        <f>IF(Table3[[#This Row],[Candide]]=0, 0, -Table3[[#This Row],[Candide]]*LOG(Table3[[#This Row],[Candide]],2))</f>
        <v>6.192186868679091E-3</v>
      </c>
      <c r="M28">
        <f>IF(Table3[[#This Row],[Faust]]=0, 0, -Table3[[#This Row],[Faust]]*LOG(Table3[[#This Row],[Faust]],2))</f>
        <v>5.1013711587837567E-2</v>
      </c>
      <c r="N28">
        <f>IF(Table3[[#This Row],[Gatsby]]=0, 0, -Table3[[#This Row],[Gatsby]]*LOG(Table3[[#This Row],[Gatsby]], 2))</f>
        <v>8.9446441614174955E-3</v>
      </c>
      <c r="O28" s="1" t="s">
        <v>30</v>
      </c>
      <c r="P28">
        <f>IF(Table3[[#This Row],[Faust]]=0, 0, -Table3[[#This Row],[Candide]]*LOG(Table3[[#This Row],[Faust]],2))</f>
        <v>4.0996367767461121E-3</v>
      </c>
      <c r="Q28">
        <f>IF(Table3[[#This Row],[Gatsby]]=0, 0, -Table3[[#This Row],[Faust]]*LOG(Table3[[#This Row],[Gatsby]],2))</f>
        <v>7.2645865355268888E-2</v>
      </c>
      <c r="R28">
        <f>IF(Table3[[#This Row],[Gatsby]]=0, 0, -Table3[[#This Row],[Candide]]*LOG(Table3[[#This Row],[Gatsby]],2))</f>
        <v>5.8380708248644995E-3</v>
      </c>
      <c r="S28" s="20">
        <f>IF(Table3[[#This Row],[Candide]]=0, 0, -Table3[[#This Row],[Faust]]*LOG(Table3[[#This Row],[Candide]],2))</f>
        <v>7.7052298098347571E-2</v>
      </c>
      <c r="T28" s="20">
        <f>IF(Table3[[#This Row],[Faust]]=0, 0, -Table3[[#This Row],[Gatsby]]*LOG(Table3[[#This Row],[Faust]],2))</f>
        <v>6.2811489033118484E-3</v>
      </c>
      <c r="U28" s="20">
        <f>IF(Table3[[#This Row],[Candide]]=0, 0, -Table3[[#This Row],[Gatsby]]*LOG(Table3[[#This Row],[Candide]],2))</f>
        <v>9.4871935923494088E-3</v>
      </c>
    </row>
    <row r="29" spans="3:21" x14ac:dyDescent="0.2">
      <c r="C29" s="1" t="s">
        <v>31</v>
      </c>
      <c r="D29">
        <f t="shared" si="2"/>
        <v>36</v>
      </c>
      <c r="E29">
        <f t="shared" si="3"/>
        <v>74</v>
      </c>
      <c r="F29">
        <f t="shared" si="4"/>
        <v>77</v>
      </c>
      <c r="G29" s="1" t="s">
        <v>31</v>
      </c>
      <c r="H29">
        <f>Table2[[#This Row],[Candide]]/$D$2</f>
        <v>1.150600869342879E-3</v>
      </c>
      <c r="I29">
        <f>Table2[[#This Row],[Faust]]/$E$2</f>
        <v>2.4189330543933052E-3</v>
      </c>
      <c r="J29">
        <f>Table2[[#This Row],[Gatsby]]/$F$2</f>
        <v>2.5137111517367461E-3</v>
      </c>
      <c r="K29" s="1" t="s">
        <v>31</v>
      </c>
      <c r="L29">
        <f>IF(Table3[[#This Row],[Candide]]=0, 0, -Table3[[#This Row],[Candide]]*LOG(Table3[[#This Row],[Candide]],2))</f>
        <v>1.1233772868015303E-2</v>
      </c>
      <c r="M29">
        <f>IF(Table3[[#This Row],[Faust]]=0, 0, -Table3[[#This Row],[Faust]]*LOG(Table3[[#This Row],[Faust]],2))</f>
        <v>2.1023947265103069E-2</v>
      </c>
      <c r="N29">
        <f>IF(Table3[[#This Row],[Gatsby]]=0, 0, -Table3[[#This Row],[Gatsby]]*LOG(Table3[[#This Row],[Gatsby]], 2))</f>
        <v>2.1708322542437809E-2</v>
      </c>
      <c r="O29" s="1" t="s">
        <v>31</v>
      </c>
      <c r="P29">
        <f>IF(Table3[[#This Row],[Faust]]=0, 0, -Table3[[#This Row],[Candide]]*LOG(Table3[[#This Row],[Faust]],2))</f>
        <v>1.0000347862588365E-2</v>
      </c>
      <c r="Q29">
        <f>IF(Table3[[#This Row],[Gatsby]]=0, 0, -Table3[[#This Row],[Faust]]*LOG(Table3[[#This Row],[Gatsby]],2))</f>
        <v>2.0889822172708197E-2</v>
      </c>
      <c r="R29">
        <f>IF(Table3[[#This Row],[Gatsby]]=0, 0, -Table3[[#This Row],[Candide]]*LOG(Table3[[#This Row],[Gatsby]],2))</f>
        <v>9.9365493016360697E-3</v>
      </c>
      <c r="S29" s="20">
        <f>IF(Table3[[#This Row],[Candide]]=0, 0, -Table3[[#This Row],[Faust]]*LOG(Table3[[#This Row],[Candide]],2))</f>
        <v>2.3617003289340573E-2</v>
      </c>
      <c r="T29" s="20">
        <f>IF(Table3[[#This Row],[Faust]]=0, 0, -Table3[[#This Row],[Gatsby]]*LOG(Table3[[#This Row],[Faust]],2))</f>
        <v>2.1847702894394378E-2</v>
      </c>
      <c r="U29" s="20">
        <f>IF(Table3[[#This Row],[Candide]]=0, 0, -Table3[[#This Row],[Gatsby]]*LOG(Table3[[#This Row],[Candide]],2))</f>
        <v>2.4542359463481943E-2</v>
      </c>
    </row>
    <row r="30" spans="3:21" x14ac:dyDescent="0.2">
      <c r="C30" s="1" t="s">
        <v>32</v>
      </c>
      <c r="D30">
        <f t="shared" si="2"/>
        <v>37</v>
      </c>
      <c r="E30">
        <f t="shared" si="3"/>
        <v>85</v>
      </c>
      <c r="F30">
        <f t="shared" si="4"/>
        <v>28</v>
      </c>
      <c r="G30" s="1" t="s">
        <v>32</v>
      </c>
      <c r="H30">
        <f>Table2[[#This Row],[Candide]]/$D$2</f>
        <v>1.1825620046024034E-3</v>
      </c>
      <c r="I30">
        <f>Table2[[#This Row],[Faust]]/$E$2</f>
        <v>2.7785041841004183E-3</v>
      </c>
      <c r="J30">
        <f>Table2[[#This Row],[Gatsby]]/$F$2</f>
        <v>9.1407678244972577E-4</v>
      </c>
      <c r="K30" s="1" t="s">
        <v>32</v>
      </c>
      <c r="L30">
        <f>IF(Table3[[#This Row],[Candide]]=0, 0, -Table3[[#This Row],[Candide]]*LOG(Table3[[#This Row],[Candide]],2))</f>
        <v>1.1499077372757856E-2</v>
      </c>
      <c r="M30">
        <f>IF(Table3[[#This Row],[Faust]]=0, 0, -Table3[[#This Row],[Faust]]*LOG(Table3[[#This Row],[Faust]],2))</f>
        <v>2.3593601239103652E-2</v>
      </c>
      <c r="N30">
        <f>IF(Table3[[#This Row],[Gatsby]]=0, 0, -Table3[[#This Row],[Gatsby]]*LOG(Table3[[#This Row],[Gatsby]], 2))</f>
        <v>9.2279680281467623E-3</v>
      </c>
      <c r="O30" s="1" t="s">
        <v>32</v>
      </c>
      <c r="P30">
        <f>IF(Table3[[#This Row],[Faust]]=0, 0, -Table3[[#This Row],[Candide]]*LOG(Table3[[#This Row],[Faust]],2))</f>
        <v>1.0041696729039654E-2</v>
      </c>
      <c r="Q30">
        <f>IF(Table3[[#This Row],[Gatsby]]=0, 0, -Table3[[#This Row],[Faust]]*LOG(Table3[[#This Row],[Gatsby]],2))</f>
        <v>2.8050102867984025E-2</v>
      </c>
      <c r="R30">
        <f>IF(Table3[[#This Row],[Gatsby]]=0, 0, -Table3[[#This Row],[Candide]]*LOG(Table3[[#This Row],[Gatsby]],2))</f>
        <v>1.1938432940530701E-2</v>
      </c>
      <c r="S30" s="20">
        <f>IF(Table3[[#This Row],[Candide]]=0, 0, -Table3[[#This Row],[Faust]]*LOG(Table3[[#This Row],[Candide]],2))</f>
        <v>2.7017809188148521E-2</v>
      </c>
      <c r="T30" s="20">
        <f>IF(Table3[[#This Row],[Faust]]=0, 0, -Table3[[#This Row],[Gatsby]]*LOG(Table3[[#This Row],[Faust]],2))</f>
        <v>7.7618609431837722E-3</v>
      </c>
      <c r="U30" s="20">
        <f>IF(Table3[[#This Row],[Candide]]=0, 0, -Table3[[#This Row],[Gatsby]]*LOG(Table3[[#This Row],[Candide]],2))</f>
        <v>8.8883623904058452E-3</v>
      </c>
    </row>
    <row r="31" spans="3:21" x14ac:dyDescent="0.2">
      <c r="C31" s="1" t="s">
        <v>33</v>
      </c>
      <c r="D31">
        <f t="shared" si="2"/>
        <v>19</v>
      </c>
      <c r="E31">
        <f t="shared" si="3"/>
        <v>12</v>
      </c>
      <c r="F31">
        <f t="shared" si="4"/>
        <v>215</v>
      </c>
      <c r="G31" s="1" t="s">
        <v>33</v>
      </c>
      <c r="H31">
        <f>Table2[[#This Row],[Candide]]/$D$2</f>
        <v>6.0726156993096397E-4</v>
      </c>
      <c r="I31">
        <f>Table2[[#This Row],[Faust]]/$E$2</f>
        <v>3.9225941422594142E-4</v>
      </c>
      <c r="J31">
        <f>Table2[[#This Row],[Gatsby]]/$F$2</f>
        <v>7.0188038652389661E-3</v>
      </c>
      <c r="K31" s="1" t="s">
        <v>33</v>
      </c>
      <c r="L31">
        <f>IF(Table3[[#This Row],[Candide]]=0, 0, -Table3[[#This Row],[Candide]]*LOG(Table3[[#This Row],[Candide]],2))</f>
        <v>6.4888293223759226E-3</v>
      </c>
      <c r="M31">
        <f>IF(Table3[[#This Row],[Faust]]=0, 0, -Table3[[#This Row],[Faust]]*LOG(Table3[[#This Row],[Faust]],2))</f>
        <v>4.438769995002455E-3</v>
      </c>
      <c r="N31">
        <f>IF(Table3[[#This Row],[Gatsby]]=0, 0, -Table3[[#This Row],[Gatsby]]*LOG(Table3[[#This Row],[Gatsby]], 2))</f>
        <v>5.0216447031896407E-2</v>
      </c>
      <c r="O31" s="1" t="s">
        <v>33</v>
      </c>
      <c r="P31">
        <f>IF(Table3[[#This Row],[Faust]]=0, 0, -Table3[[#This Row],[Candide]]*LOG(Table3[[#This Row],[Faust]],2))</f>
        <v>6.8717138148150173E-3</v>
      </c>
      <c r="Q31">
        <f>IF(Table3[[#This Row],[Gatsby]]=0, 0, -Table3[[#This Row],[Faust]]*LOG(Table3[[#This Row],[Gatsby]],2))</f>
        <v>2.8064431597518437E-3</v>
      </c>
      <c r="R31">
        <f>IF(Table3[[#This Row],[Gatsby]]=0, 0, -Table3[[#This Row],[Candide]]*LOG(Table3[[#This Row],[Gatsby]],2))</f>
        <v>4.3446887883518701E-3</v>
      </c>
      <c r="S31" s="20">
        <f>IF(Table3[[#This Row],[Candide]]=0, 0, -Table3[[#This Row],[Faust]]*LOG(Table3[[#This Row],[Candide]],2))</f>
        <v>4.191446511750534E-3</v>
      </c>
      <c r="T31" s="20">
        <f>IF(Table3[[#This Row],[Faust]]=0, 0, -Table3[[#This Row],[Gatsby]]*LOG(Table3[[#This Row],[Faust]],2))</f>
        <v>7.9424112890467885E-2</v>
      </c>
      <c r="U31" s="20">
        <f>IF(Table3[[#This Row],[Candide]]=0, 0, -Table3[[#This Row],[Gatsby]]*LOG(Table3[[#This Row],[Candide]],2))</f>
        <v>7.4998686865605013E-2</v>
      </c>
    </row>
    <row r="32" spans="3:21" x14ac:dyDescent="0.2">
      <c r="C32" s="1" t="s">
        <v>34</v>
      </c>
      <c r="D32">
        <f t="shared" si="2"/>
        <v>44</v>
      </c>
      <c r="E32">
        <f t="shared" si="3"/>
        <v>218</v>
      </c>
      <c r="F32">
        <f t="shared" si="4"/>
        <v>44</v>
      </c>
      <c r="G32" s="1" t="s">
        <v>34</v>
      </c>
      <c r="H32">
        <f>Table2[[#This Row],[Candide]]/$D$2</f>
        <v>1.4062899514190744E-3</v>
      </c>
      <c r="I32">
        <f>Table2[[#This Row],[Faust]]/$E$2</f>
        <v>7.1260460251046029E-3</v>
      </c>
      <c r="J32">
        <f>Table2[[#This Row],[Gatsby]]/$F$2</f>
        <v>1.4364063724209976E-3</v>
      </c>
      <c r="K32" s="1" t="s">
        <v>34</v>
      </c>
      <c r="L32">
        <f>IF(Table3[[#This Row],[Candide]]=0, 0, -Table3[[#This Row],[Candide]]*LOG(Table3[[#This Row],[Candide]],2))</f>
        <v>1.3323036592054733E-2</v>
      </c>
      <c r="M32">
        <f>IF(Table3[[#This Row],[Faust]]=0, 0, -Table3[[#This Row],[Faust]]*LOG(Table3[[#This Row],[Faust]],2))</f>
        <v>5.0827823657767827E-2</v>
      </c>
      <c r="N32">
        <f>IF(Table3[[#This Row],[Gatsby]]=0, 0, -Table3[[#This Row],[Gatsby]]*LOG(Table3[[#This Row],[Gatsby]], 2))</f>
        <v>1.3564445493384892E-2</v>
      </c>
      <c r="O32" s="1" t="s">
        <v>34</v>
      </c>
      <c r="P32">
        <f>IF(Table3[[#This Row],[Faust]]=0, 0, -Table3[[#This Row],[Candide]]*LOG(Table3[[#This Row],[Faust]],2))</f>
        <v>1.0030619702792386E-2</v>
      </c>
      <c r="Q32">
        <f>IF(Table3[[#This Row],[Gatsby]]=0, 0, -Table3[[#This Row],[Faust]]*LOG(Table3[[#This Row],[Gatsby]],2))</f>
        <v>6.7293535274398686E-2</v>
      </c>
      <c r="R32">
        <f>IF(Table3[[#This Row],[Gatsby]]=0, 0, -Table3[[#This Row],[Candide]]*LOG(Table3[[#This Row],[Gatsby]],2))</f>
        <v>1.3280046482784648E-2</v>
      </c>
      <c r="S32" s="20">
        <f>IF(Table3[[#This Row],[Candide]]=0, 0, -Table3[[#This Row],[Faust]]*LOG(Table3[[#This Row],[Candide]],2))</f>
        <v>6.7511377616921137E-2</v>
      </c>
      <c r="T32" s="20">
        <f>IF(Table3[[#This Row],[Faust]]=0, 0, -Table3[[#This Row],[Gatsby]]*LOG(Table3[[#This Row],[Faust]],2))</f>
        <v>1.0245430571329596E-2</v>
      </c>
      <c r="U32" s="20">
        <f>IF(Table3[[#This Row],[Candide]]=0, 0, -Table3[[#This Row],[Gatsby]]*LOG(Table3[[#This Row],[Candide]],2))</f>
        <v>1.3608356257907041E-2</v>
      </c>
    </row>
    <row r="33" spans="3:21" x14ac:dyDescent="0.2">
      <c r="C33" s="1" t="s">
        <v>35</v>
      </c>
      <c r="D33">
        <f t="shared" si="2"/>
        <v>32</v>
      </c>
      <c r="E33">
        <f t="shared" si="3"/>
        <v>118</v>
      </c>
      <c r="F33">
        <f t="shared" si="4"/>
        <v>108</v>
      </c>
      <c r="G33" s="1" t="s">
        <v>35</v>
      </c>
      <c r="H33">
        <f>Table2[[#This Row],[Candide]]/$D$2</f>
        <v>1.0227563283047815E-3</v>
      </c>
      <c r="I33">
        <f>Table2[[#This Row],[Faust]]/$E$2</f>
        <v>3.8572175732217574E-3</v>
      </c>
      <c r="J33">
        <f>Table2[[#This Row],[Gatsby]]/$F$2</f>
        <v>3.5257247323060852E-3</v>
      </c>
      <c r="K33" s="1" t="s">
        <v>35</v>
      </c>
      <c r="L33">
        <f>IF(Table3[[#This Row],[Candide]]=0, 0, -Table3[[#This Row],[Candide]]*LOG(Table3[[#This Row],[Candide]],2))</f>
        <v>1.0159367753242592E-2</v>
      </c>
      <c r="M33">
        <f>IF(Table3[[#This Row],[Faust]]=0, 0, -Table3[[#This Row],[Faust]]*LOG(Table3[[#This Row],[Faust]],2))</f>
        <v>3.092803358776906E-2</v>
      </c>
      <c r="N33">
        <f>IF(Table3[[#This Row],[Gatsby]]=0, 0, -Table3[[#This Row],[Gatsby]]*LOG(Table3[[#This Row],[Gatsby]], 2))</f>
        <v>2.8727127181057809E-2</v>
      </c>
      <c r="O33" s="1" t="s">
        <v>35</v>
      </c>
      <c r="P33">
        <f>IF(Table3[[#This Row],[Faust]]=0, 0, -Table3[[#This Row],[Candide]]*LOG(Table3[[#This Row],[Faust]],2))</f>
        <v>8.2006890908912378E-3</v>
      </c>
      <c r="Q33">
        <f>IF(Table3[[#This Row],[Gatsby]]=0, 0, -Table3[[#This Row],[Faust]]*LOG(Table3[[#This Row],[Gatsby]],2))</f>
        <v>3.1428085912559814E-2</v>
      </c>
      <c r="R33">
        <f>IF(Table3[[#This Row],[Gatsby]]=0, 0, -Table3[[#This Row],[Candide]]*LOG(Table3[[#This Row],[Gatsby]],2))</f>
        <v>8.3332799209273264E-3</v>
      </c>
      <c r="S33" s="20">
        <f>IF(Table3[[#This Row],[Candide]]=0, 0, -Table3[[#This Row],[Faust]]*LOG(Table3[[#This Row],[Candide]],2))</f>
        <v>3.8314983487398258E-2</v>
      </c>
      <c r="T33" s="20">
        <f>IF(Table3[[#This Row],[Faust]]=0, 0, -Table3[[#This Row],[Gatsby]]*LOG(Table3[[#This Row],[Faust]],2))</f>
        <v>2.8270049814926937E-2</v>
      </c>
      <c r="U33" s="20">
        <f>IF(Table3[[#This Row],[Candide]]=0, 0, -Table3[[#This Row],[Gatsby]]*LOG(Table3[[#This Row],[Candide]],2))</f>
        <v>3.5022158417313855E-2</v>
      </c>
    </row>
    <row r="34" spans="3:21" x14ac:dyDescent="0.2">
      <c r="C34" s="1" t="s">
        <v>36</v>
      </c>
      <c r="D34">
        <f t="shared" si="2"/>
        <v>14</v>
      </c>
      <c r="E34">
        <f t="shared" si="3"/>
        <v>75</v>
      </c>
      <c r="F34">
        <f t="shared" si="4"/>
        <v>8</v>
      </c>
      <c r="G34" s="1" t="s">
        <v>36</v>
      </c>
      <c r="H34">
        <f>Table2[[#This Row],[Candide]]/$D$2</f>
        <v>4.4745589363334184E-4</v>
      </c>
      <c r="I34">
        <f>Table2[[#This Row],[Faust]]/$E$2</f>
        <v>2.4516213389121338E-3</v>
      </c>
      <c r="J34">
        <f>Table2[[#This Row],[Gatsby]]/$F$2</f>
        <v>2.6116479498563595E-4</v>
      </c>
      <c r="K34" s="1" t="s">
        <v>36</v>
      </c>
      <c r="L34">
        <f>IF(Table3[[#This Row],[Candide]]=0, 0, -Table3[[#This Row],[Candide]]*LOG(Table3[[#This Row],[Candide]],2))</f>
        <v>4.9783794611817549E-3</v>
      </c>
      <c r="M34">
        <f>IF(Table3[[#This Row],[Faust]]=0, 0, -Table3[[#This Row],[Faust]]*LOG(Table3[[#This Row],[Faust]],2))</f>
        <v>2.1260578216898703E-2</v>
      </c>
      <c r="N34">
        <f>IF(Table3[[#This Row],[Gatsby]]=0, 0, -Table3[[#This Row],[Gatsby]]*LOG(Table3[[#This Row],[Gatsby]], 2))</f>
        <v>3.1085797714416716E-3</v>
      </c>
      <c r="O34" s="1" t="s">
        <v>36</v>
      </c>
      <c r="P34">
        <f>IF(Table3[[#This Row],[Faust]]=0, 0, -Table3[[#This Row],[Candide]]*LOG(Table3[[#This Row],[Faust]],2))</f>
        <v>3.8803590400405315E-3</v>
      </c>
      <c r="Q34">
        <f>IF(Table3[[#This Row],[Gatsby]]=0, 0, -Table3[[#This Row],[Faust]]*LOG(Table3[[#This Row],[Gatsby]],2))</f>
        <v>2.9181040659772551E-2</v>
      </c>
      <c r="R34">
        <f>IF(Table3[[#This Row],[Gatsby]]=0, 0, -Table3[[#This Row],[Candide]]*LOG(Table3[[#This Row],[Gatsby]],2))</f>
        <v>5.3259565081789258E-3</v>
      </c>
      <c r="S34" s="20">
        <f>IF(Table3[[#This Row],[Candide]]=0, 0, -Table3[[#This Row],[Faust]]*LOG(Table3[[#This Row],[Candide]],2))</f>
        <v>2.7276657864822518E-2</v>
      </c>
      <c r="T34" s="20">
        <f>IF(Table3[[#This Row],[Faust]]=0, 0, -Table3[[#This Row],[Gatsby]]*LOG(Table3[[#This Row],[Faust]],2))</f>
        <v>2.2648336687085056E-3</v>
      </c>
      <c r="U34" s="20">
        <f>IF(Table3[[#This Row],[Candide]]=0, 0, -Table3[[#This Row],[Gatsby]]*LOG(Table3[[#This Row],[Candide]],2))</f>
        <v>2.9057108641095172E-3</v>
      </c>
    </row>
    <row r="35" spans="3:21" x14ac:dyDescent="0.2">
      <c r="C35" s="1" t="s">
        <v>37</v>
      </c>
      <c r="D35">
        <f t="shared" ref="D35:D66" si="5">LEN($B$2)-LEN(SUBSTITUTE($B$2,C35,""))</f>
        <v>33</v>
      </c>
      <c r="E35">
        <f t="shared" ref="E35:E67" si="6">LEN($B$3)-LEN(SUBSTITUTE($B$3,C35,""))</f>
        <v>141</v>
      </c>
      <c r="F35">
        <f t="shared" ref="F35:F67" si="7">LEN($B$4)-LEN(SUBSTITUTE($B$4,C35,""))</f>
        <v>6</v>
      </c>
      <c r="G35" s="1" t="s">
        <v>37</v>
      </c>
      <c r="H35">
        <f>Table2[[#This Row],[Candide]]/$D$2</f>
        <v>1.0547174635643058E-3</v>
      </c>
      <c r="I35">
        <f>Table2[[#This Row],[Faust]]/$E$2</f>
        <v>4.609048117154812E-3</v>
      </c>
      <c r="J35">
        <f>Table2[[#This Row],[Gatsby]]/$F$2</f>
        <v>1.9587359623922696E-4</v>
      </c>
      <c r="K35" s="1" t="s">
        <v>37</v>
      </c>
      <c r="L35">
        <f>IF(Table3[[#This Row],[Candide]]=0, 0, -Table3[[#This Row],[Candide]]*LOG(Table3[[#This Row],[Candide]],2))</f>
        <v>1.0430024742564504E-2</v>
      </c>
      <c r="M35">
        <f>IF(Table3[[#This Row],[Faust]]=0, 0, -Table3[[#This Row],[Faust]]*LOG(Table3[[#This Row],[Faust]],2))</f>
        <v>3.5772276387194553E-2</v>
      </c>
      <c r="N35">
        <f>IF(Table3[[#This Row],[Gatsby]]=0, 0, -Table3[[#This Row],[Gatsby]]*LOG(Table3[[#This Row],[Gatsby]], 2))</f>
        <v>2.4127297161391364E-3</v>
      </c>
      <c r="O35" s="1" t="s">
        <v>37</v>
      </c>
      <c r="P35">
        <f>IF(Table3[[#This Row],[Faust]]=0, 0, -Table3[[#This Row],[Candide]]*LOG(Table3[[#This Row],[Faust]],2))</f>
        <v>8.1859949512338437E-3</v>
      </c>
      <c r="Q35">
        <f>IF(Table3[[#This Row],[Gatsby]]=0, 0, -Table3[[#This Row],[Faust]]*LOG(Table3[[#This Row],[Gatsby]],2))</f>
        <v>5.6773284244972209E-2</v>
      </c>
      <c r="R35">
        <f>IF(Table3[[#This Row],[Gatsby]]=0, 0, -Table3[[#This Row],[Candide]]*LOG(Table3[[#This Row],[Gatsby]],2))</f>
        <v>1.2991787639230925E-2</v>
      </c>
      <c r="S35" s="20">
        <f>IF(Table3[[#This Row],[Candide]]=0, 0, -Table3[[#This Row],[Faust]]*LOG(Table3[[#This Row],[Candide]],2))</f>
        <v>4.5578543602700167E-2</v>
      </c>
      <c r="T35" s="20">
        <f>IF(Table3[[#This Row],[Faust]]=0, 0, -Table3[[#This Row],[Gatsby]]*LOG(Table3[[#This Row],[Faust]],2))</f>
        <v>1.5202367698319318E-3</v>
      </c>
      <c r="U35" s="20">
        <f>IF(Table3[[#This Row],[Candide]]=0, 0, -Table3[[#This Row],[Gatsby]]*LOG(Table3[[#This Row],[Candide]],2))</f>
        <v>1.9369798318179339E-3</v>
      </c>
    </row>
    <row r="36" spans="3:21" x14ac:dyDescent="0.2">
      <c r="C36" s="1" t="s">
        <v>38</v>
      </c>
      <c r="D36">
        <f t="shared" si="5"/>
        <v>34</v>
      </c>
      <c r="E36">
        <f t="shared" si="6"/>
        <v>103</v>
      </c>
      <c r="F36">
        <f t="shared" si="7"/>
        <v>51</v>
      </c>
      <c r="G36" s="1" t="s">
        <v>38</v>
      </c>
      <c r="H36">
        <f>Table2[[#This Row],[Candide]]/$D$2</f>
        <v>1.0866785988238301E-3</v>
      </c>
      <c r="I36">
        <f>Table2[[#This Row],[Faust]]/$E$2</f>
        <v>3.3668933054393307E-3</v>
      </c>
      <c r="J36">
        <f>Table2[[#This Row],[Gatsby]]/$F$2</f>
        <v>1.6649255680334291E-3</v>
      </c>
      <c r="K36" s="1" t="s">
        <v>38</v>
      </c>
      <c r="L36">
        <f>IF(Table3[[#This Row],[Candide]]=0, 0, -Table3[[#This Row],[Candide]]*LOG(Table3[[#This Row],[Candide]],2))</f>
        <v>1.0699284240041185E-2</v>
      </c>
      <c r="M36">
        <f>IF(Table3[[#This Row],[Faust]]=0, 0, -Table3[[#This Row],[Faust]]*LOG(Table3[[#This Row],[Faust]],2))</f>
        <v>2.765689483924378E-2</v>
      </c>
      <c r="N36">
        <f>IF(Table3[[#This Row],[Gatsby]]=0, 0, -Table3[[#This Row],[Gatsby]]*LOG(Table3[[#This Row],[Gatsby]], 2))</f>
        <v>1.5367806762431836E-2</v>
      </c>
      <c r="O36" s="1" t="s">
        <v>38</v>
      </c>
      <c r="P36">
        <f>IF(Table3[[#This Row],[Faust]]=0, 0, -Table3[[#This Row],[Candide]]*LOG(Table3[[#This Row],[Faust]],2))</f>
        <v>8.9263760402427776E-3</v>
      </c>
      <c r="Q36">
        <f>IF(Table3[[#This Row],[Gatsby]]=0, 0, -Table3[[#This Row],[Faust]]*LOG(Table3[[#This Row],[Gatsby]],2))</f>
        <v>3.1077524846250738E-2</v>
      </c>
      <c r="R36">
        <f>IF(Table3[[#This Row],[Gatsby]]=0, 0, -Table3[[#This Row],[Candide]]*LOG(Table3[[#This Row],[Gatsby]],2))</f>
        <v>1.0030398379502512E-2</v>
      </c>
      <c r="S36" s="20">
        <f>IF(Table3[[#This Row],[Candide]]=0, 0, -Table3[[#This Row],[Faust]]*LOG(Table3[[#This Row],[Candide]],2))</f>
        <v>3.3149956684319706E-2</v>
      </c>
      <c r="T36" s="20">
        <f>IF(Table3[[#This Row],[Faust]]=0, 0, -Table3[[#This Row],[Gatsby]]*LOG(Table3[[#This Row],[Faust]],2))</f>
        <v>1.3676308446091476E-2</v>
      </c>
      <c r="U36" s="20">
        <f>IF(Table3[[#This Row],[Candide]]=0, 0, -Table3[[#This Row],[Gatsby]]*LOG(Table3[[#This Row],[Candide]],2))</f>
        <v>1.6392622354192119E-2</v>
      </c>
    </row>
    <row r="37" spans="3:21" x14ac:dyDescent="0.2">
      <c r="C37" s="1" t="s">
        <v>39</v>
      </c>
      <c r="D37">
        <f t="shared" si="5"/>
        <v>224</v>
      </c>
      <c r="E37">
        <f t="shared" si="6"/>
        <v>86</v>
      </c>
      <c r="F37">
        <f t="shared" si="7"/>
        <v>161</v>
      </c>
      <c r="G37" s="1" t="s">
        <v>39</v>
      </c>
      <c r="H37">
        <f>Table2[[#This Row],[Candide]]/$D$2</f>
        <v>7.1592942981334694E-3</v>
      </c>
      <c r="I37">
        <f>Table2[[#This Row],[Faust]]/$E$2</f>
        <v>2.8111924686192468E-3</v>
      </c>
      <c r="J37">
        <f>Table2[[#This Row],[Gatsby]]/$F$2</f>
        <v>5.2559414990859228E-3</v>
      </c>
      <c r="K37" s="1" t="s">
        <v>39</v>
      </c>
      <c r="L37">
        <f>IF(Table3[[#This Row],[Candide]]=0, 0, -Table3[[#This Row],[Candide]]*LOG(Table3[[#This Row],[Candide]],2))</f>
        <v>5.1016894186374222E-2</v>
      </c>
      <c r="M37">
        <f>IF(Table3[[#This Row],[Faust]]=0, 0, -Table3[[#This Row],[Faust]]*LOG(Table3[[#This Row],[Faust]],2))</f>
        <v>2.3823737466722145E-2</v>
      </c>
      <c r="N37">
        <f>IF(Table3[[#This Row],[Gatsby]]=0, 0, -Table3[[#This Row],[Gatsby]]*LOG(Table3[[#This Row],[Gatsby]], 2))</f>
        <v>3.9797122151489374E-2</v>
      </c>
      <c r="O37" s="1" t="s">
        <v>39</v>
      </c>
      <c r="P37">
        <f>IF(Table3[[#This Row],[Faust]]=0, 0, -Table3[[#This Row],[Candide]]*LOG(Table3[[#This Row],[Faust]],2))</f>
        <v>6.0672170158988029E-2</v>
      </c>
      <c r="Q37">
        <f>IF(Table3[[#This Row],[Gatsby]]=0, 0, -Table3[[#This Row],[Faust]]*LOG(Table3[[#This Row],[Gatsby]],2))</f>
        <v>2.1285885713234073E-2</v>
      </c>
      <c r="R37">
        <f>IF(Table3[[#This Row],[Gatsby]]=0, 0, -Table3[[#This Row],[Candide]]*LOG(Table3[[#This Row],[Gatsby]],2))</f>
        <v>5.4208995619686839E-2</v>
      </c>
      <c r="S37" s="20">
        <f>IF(Table3[[#This Row],[Candide]]=0, 0, -Table3[[#This Row],[Faust]]*LOG(Table3[[#This Row],[Candide]],2))</f>
        <v>2.0032464477186172E-2</v>
      </c>
      <c r="T37" s="20">
        <f>IF(Table3[[#This Row],[Faust]]=0, 0, -Table3[[#This Row],[Gatsby]]*LOG(Table3[[#This Row],[Faust]],2))</f>
        <v>4.4542012620066025E-2</v>
      </c>
      <c r="U37" s="20">
        <f>IF(Table3[[#This Row],[Candide]]=0, 0, -Table3[[#This Row],[Gatsby]]*LOG(Table3[[#This Row],[Candide]],2))</f>
        <v>3.7453665143860344E-2</v>
      </c>
    </row>
    <row r="38" spans="3:21" x14ac:dyDescent="0.2">
      <c r="C38" s="1" t="s">
        <v>40</v>
      </c>
      <c r="D38">
        <f t="shared" si="5"/>
        <v>5</v>
      </c>
      <c r="E38">
        <f t="shared" si="6"/>
        <v>20</v>
      </c>
      <c r="F38">
        <f t="shared" si="7"/>
        <v>23</v>
      </c>
      <c r="G38" s="1" t="s">
        <v>40</v>
      </c>
      <c r="H38">
        <f>Table2[[#This Row],[Candide]]/$D$2</f>
        <v>1.598056762976221E-4</v>
      </c>
      <c r="I38">
        <f>Table2[[#This Row],[Faust]]/$E$2</f>
        <v>6.5376569037656901E-4</v>
      </c>
      <c r="J38">
        <f>Table2[[#This Row],[Gatsby]]/$F$2</f>
        <v>7.5084878558370326E-4</v>
      </c>
      <c r="K38" s="1" t="s">
        <v>40</v>
      </c>
      <c r="L38">
        <f>IF(Table3[[#This Row],[Candide]]=0, 0, -Table3[[#This Row],[Candide]]*LOG(Table3[[#This Row],[Candide]],2))</f>
        <v>2.0153723034143415E-3</v>
      </c>
      <c r="M38">
        <f>IF(Table3[[#This Row],[Faust]]=0, 0, -Table3[[#This Row],[Faust]]*LOG(Table3[[#This Row],[Faust]],2))</f>
        <v>6.9161471712169097E-3</v>
      </c>
      <c r="N38">
        <f>IF(Table3[[#This Row],[Gatsby]]=0, 0, -Table3[[#This Row],[Gatsby]]*LOG(Table3[[#This Row],[Gatsby]], 2))</f>
        <v>7.793202198427867E-3</v>
      </c>
      <c r="O38" s="1" t="s">
        <v>40</v>
      </c>
      <c r="P38">
        <f>IF(Table3[[#This Row],[Faust]]=0, 0, -Table3[[#This Row],[Candide]]*LOG(Table3[[#This Row],[Faust]],2))</f>
        <v>1.6905744555569845E-3</v>
      </c>
      <c r="Q38">
        <f>IF(Table3[[#This Row],[Gatsby]]=0, 0, -Table3[[#This Row],[Faust]]*LOG(Table3[[#This Row],[Gatsby]],2))</f>
        <v>6.7855583085729265E-3</v>
      </c>
      <c r="R38">
        <f>IF(Table3[[#This Row],[Gatsby]]=0, 0, -Table3[[#This Row],[Candide]]*LOG(Table3[[#This Row],[Gatsby]],2))</f>
        <v>1.6586534755805979E-3</v>
      </c>
      <c r="S38" s="20">
        <f>IF(Table3[[#This Row],[Candide]]=0, 0, -Table3[[#This Row],[Faust]]*LOG(Table3[[#This Row],[Candide]],2))</f>
        <v>8.244896525788168E-3</v>
      </c>
      <c r="T38" s="20">
        <f>IF(Table3[[#This Row],[Faust]]=0, 0, -Table3[[#This Row],[Gatsby]]*LOG(Table3[[#This Row],[Faust]],2))</f>
        <v>7.9431832854905942E-3</v>
      </c>
      <c r="U38" s="20">
        <f>IF(Table3[[#This Row],[Candide]]=0, 0, -Table3[[#This Row],[Gatsby]]*LOG(Table3[[#This Row],[Candide]],2))</f>
        <v>9.4692496635690911E-3</v>
      </c>
    </row>
    <row r="39" spans="3:21" x14ac:dyDescent="0.2">
      <c r="C39" s="1" t="s">
        <v>41</v>
      </c>
      <c r="D39">
        <f t="shared" si="5"/>
        <v>1</v>
      </c>
      <c r="E39">
        <f t="shared" si="6"/>
        <v>55</v>
      </c>
      <c r="F39">
        <f t="shared" si="7"/>
        <v>5</v>
      </c>
      <c r="G39" s="1" t="s">
        <v>41</v>
      </c>
      <c r="H39">
        <f>Table2[[#This Row],[Candide]]/$D$2</f>
        <v>3.1961135259524421E-5</v>
      </c>
      <c r="I39">
        <f>Table2[[#This Row],[Faust]]/$E$2</f>
        <v>1.7978556485355648E-3</v>
      </c>
      <c r="J39">
        <f>Table2[[#This Row],[Gatsby]]/$F$2</f>
        <v>1.6322799686602246E-4</v>
      </c>
      <c r="K39" s="1" t="s">
        <v>41</v>
      </c>
      <c r="L39">
        <f>IF(Table3[[#This Row],[Candide]]=0, 0, -Table3[[#This Row],[Candide]]*LOG(Table3[[#This Row],[Candide]],2))</f>
        <v>4.7728591858645314E-4</v>
      </c>
      <c r="M39">
        <f>IF(Table3[[#This Row],[Faust]]=0, 0, -Table3[[#This Row],[Faust]]*LOG(Table3[[#This Row],[Faust]],2))</f>
        <v>1.6395557341628036E-2</v>
      </c>
      <c r="N39">
        <f>IF(Table3[[#This Row],[Gatsby]]=0, 0, -Table3[[#This Row],[Gatsby]]*LOG(Table3[[#This Row],[Gatsby]], 2))</f>
        <v>2.0535426759537086E-3</v>
      </c>
      <c r="O39" s="1" t="s">
        <v>41</v>
      </c>
      <c r="P39">
        <f>IF(Table3[[#This Row],[Faust]]=0, 0, -Table3[[#This Row],[Candide]]*LOG(Table3[[#This Row],[Faust]],2))</f>
        <v>2.9146979974610363E-4</v>
      </c>
      <c r="Q39">
        <f>IF(Table3[[#This Row],[Gatsby]]=0, 0, -Table3[[#This Row],[Faust]]*LOG(Table3[[#This Row],[Gatsby]],2))</f>
        <v>2.2618505221886569E-2</v>
      </c>
      <c r="R39">
        <f>IF(Table3[[#This Row],[Gatsby]]=0, 0, -Table3[[#This Row],[Candide]]*LOG(Table3[[#This Row],[Gatsby]],2))</f>
        <v>4.0209741274491179E-4</v>
      </c>
      <c r="S39" s="20">
        <f>IF(Table3[[#This Row],[Candide]]=0, 0, -Table3[[#This Row],[Faust]]*LOG(Table3[[#This Row],[Candide]],2))</f>
        <v>2.6847956986804127E-2</v>
      </c>
      <c r="T39" s="20">
        <f>IF(Table3[[#This Row],[Faust]]=0, 0, -Table3[[#This Row],[Gatsby]]*LOG(Table3[[#This Row],[Faust]],2))</f>
        <v>1.4885588754335482E-3</v>
      </c>
      <c r="U39" s="20">
        <f>IF(Table3[[#This Row],[Candide]]=0, 0, -Table3[[#This Row],[Gatsby]]*LOG(Table3[[#This Row],[Candide]],2))</f>
        <v>2.4375362073539015E-3</v>
      </c>
    </row>
    <row r="40" spans="3:21" x14ac:dyDescent="0.2">
      <c r="C40" s="1" t="s">
        <v>42</v>
      </c>
      <c r="D40">
        <f t="shared" si="5"/>
        <v>11</v>
      </c>
      <c r="E40">
        <f t="shared" si="6"/>
        <v>65</v>
      </c>
      <c r="F40">
        <f t="shared" si="7"/>
        <v>76</v>
      </c>
      <c r="G40" s="1" t="s">
        <v>42</v>
      </c>
      <c r="H40">
        <f>Table2[[#This Row],[Candide]]/$D$2</f>
        <v>3.515724878547686E-4</v>
      </c>
      <c r="I40">
        <f>Table2[[#This Row],[Faust]]/$E$2</f>
        <v>2.1247384937238493E-3</v>
      </c>
      <c r="J40">
        <f>Table2[[#This Row],[Gatsby]]/$F$2</f>
        <v>2.4810655523635414E-3</v>
      </c>
      <c r="K40" s="1" t="s">
        <v>42</v>
      </c>
      <c r="L40">
        <f>IF(Table3[[#This Row],[Candide]]=0, 0, -Table3[[#This Row],[Candide]]*LOG(Table3[[#This Row],[Candide]],2))</f>
        <v>4.0339041237232205E-3</v>
      </c>
      <c r="M40">
        <f>IF(Table3[[#This Row],[Faust]]=0, 0, -Table3[[#This Row],[Faust]]*LOG(Table3[[#This Row],[Faust]],2))</f>
        <v>1.8864488581063651E-2</v>
      </c>
      <c r="N40">
        <f>IF(Table3[[#This Row],[Gatsby]]=0, 0, -Table3[[#This Row],[Gatsby]]*LOG(Table3[[#This Row],[Gatsby]], 2))</f>
        <v>2.147318675851723E-2</v>
      </c>
      <c r="O40" s="1" t="s">
        <v>42</v>
      </c>
      <c r="P40">
        <f>IF(Table3[[#This Row],[Faust]]=0, 0, -Table3[[#This Row],[Candide]]*LOG(Table3[[#This Row],[Faust]],2))</f>
        <v>3.1214359800714412E-3</v>
      </c>
      <c r="Q40">
        <f>IF(Table3[[#This Row],[Gatsby]]=0, 0, -Table3[[#This Row],[Faust]]*LOG(Table3[[#This Row],[Gatsby]],2))</f>
        <v>1.8389238625831177E-2</v>
      </c>
      <c r="R40">
        <f>IF(Table3[[#This Row],[Gatsby]]=0, 0, -Table3[[#This Row],[Candide]]*LOG(Table3[[#This Row],[Gatsby]],2))</f>
        <v>3.0427981572958428E-3</v>
      </c>
      <c r="S40" s="20">
        <f>IF(Table3[[#This Row],[Candide]]=0, 0, -Table3[[#This Row],[Faust]]*LOG(Table3[[#This Row],[Candide]],2))</f>
        <v>2.4379016185153538E-2</v>
      </c>
      <c r="T40" s="20">
        <f>IF(Table3[[#This Row],[Faust]]=0, 0, -Table3[[#This Row],[Gatsby]]*LOG(Table3[[#This Row],[Faust]],2))</f>
        <v>2.2028138013070464E-2</v>
      </c>
      <c r="U40" s="20">
        <f>IF(Table3[[#This Row],[Candide]]=0, 0, -Table3[[#This Row],[Gatsby]]*LOG(Table3[[#This Row],[Candide]],2))</f>
        <v>2.8467473732021062E-2</v>
      </c>
    </row>
    <row r="41" spans="3:21" x14ac:dyDescent="0.2">
      <c r="C41" s="1" t="s">
        <v>43</v>
      </c>
      <c r="D41">
        <f t="shared" si="5"/>
        <v>31</v>
      </c>
      <c r="E41">
        <f t="shared" si="6"/>
        <v>128</v>
      </c>
      <c r="F41">
        <f t="shared" si="7"/>
        <v>52</v>
      </c>
      <c r="G41" s="1" t="s">
        <v>43</v>
      </c>
      <c r="H41">
        <f>Table2[[#This Row],[Candide]]/$D$2</f>
        <v>9.9079519304525691E-4</v>
      </c>
      <c r="I41">
        <f>Table2[[#This Row],[Faust]]/$E$2</f>
        <v>4.1841004184100415E-3</v>
      </c>
      <c r="J41">
        <f>Table2[[#This Row],[Gatsby]]/$F$2</f>
        <v>1.6975711674066336E-3</v>
      </c>
      <c r="K41" s="1" t="s">
        <v>43</v>
      </c>
      <c r="L41">
        <f>IF(Table3[[#This Row],[Candide]]=0, 0, -Table3[[#This Row],[Candide]]*LOG(Table3[[#This Row],[Candide]],2))</f>
        <v>9.8872695864461839E-3</v>
      </c>
      <c r="M41">
        <f>IF(Table3[[#This Row],[Faust]]=0, 0, -Table3[[#This Row],[Faust]]*LOG(Table3[[#This Row],[Faust]],2))</f>
        <v>3.305802011707426E-2</v>
      </c>
      <c r="N41">
        <f>IF(Table3[[#This Row],[Gatsby]]=0, 0, -Table3[[#This Row],[Gatsby]]*LOG(Table3[[#This Row],[Gatsby]], 2))</f>
        <v>1.5621579909534852E-2</v>
      </c>
      <c r="O41" s="1" t="s">
        <v>43</v>
      </c>
      <c r="P41">
        <f>IF(Table3[[#This Row],[Faust]]=0, 0, -Table3[[#This Row],[Candide]]*LOG(Table3[[#This Row],[Faust]],2))</f>
        <v>7.8281408542381498E-3</v>
      </c>
      <c r="Q41">
        <f>IF(Table3[[#This Row],[Gatsby]]=0, 0, -Table3[[#This Row],[Faust]]*LOG(Table3[[#This Row],[Gatsby]],2))</f>
        <v>3.8503398438113255E-2</v>
      </c>
      <c r="R41">
        <f>IF(Table3[[#This Row],[Gatsby]]=0, 0, -Table3[[#This Row],[Candide]]*LOG(Table3[[#This Row],[Gatsby]],2))</f>
        <v>9.1176067191249387E-3</v>
      </c>
      <c r="S41" s="20">
        <f>IF(Table3[[#This Row],[Candide]]=0, 0, -Table3[[#This Row],[Faust]]*LOG(Table3[[#This Row],[Candide]],2))</f>
        <v>4.1753663223205312E-2</v>
      </c>
      <c r="T41" s="20">
        <f>IF(Table3[[#This Row],[Faust]]=0, 0, -Table3[[#This Row],[Gatsby]]*LOG(Table3[[#This Row],[Faust]],2))</f>
        <v>1.3412283690748204E-2</v>
      </c>
      <c r="U41" s="20">
        <f>IF(Table3[[#This Row],[Candide]]=0, 0, -Table3[[#This Row],[Gatsby]]*LOG(Table3[[#This Row],[Candide]],2))</f>
        <v>1.6940275742295497E-2</v>
      </c>
    </row>
    <row r="42" spans="3:21" x14ac:dyDescent="0.2">
      <c r="C42" s="1" t="s">
        <v>44</v>
      </c>
      <c r="D42">
        <f t="shared" si="5"/>
        <v>33</v>
      </c>
      <c r="E42">
        <f t="shared" si="6"/>
        <v>56</v>
      </c>
      <c r="F42">
        <f t="shared" si="7"/>
        <v>26</v>
      </c>
      <c r="G42" s="1" t="s">
        <v>44</v>
      </c>
      <c r="H42">
        <f>Table2[[#This Row],[Candide]]/$D$2</f>
        <v>1.0547174635643058E-3</v>
      </c>
      <c r="I42">
        <f>Table2[[#This Row],[Faust]]/$E$2</f>
        <v>1.8305439330543933E-3</v>
      </c>
      <c r="J42">
        <f>Table2[[#This Row],[Gatsby]]/$F$2</f>
        <v>8.4878558370331681E-4</v>
      </c>
      <c r="K42" s="1" t="s">
        <v>44</v>
      </c>
      <c r="L42">
        <f>IF(Table3[[#This Row],[Candide]]=0, 0, -Table3[[#This Row],[Candide]]*LOG(Table3[[#This Row],[Candide]],2))</f>
        <v>1.0430024742564504E-2</v>
      </c>
      <c r="M42">
        <f>IF(Table3[[#This Row],[Faust]]=0, 0, -Table3[[#This Row],[Faust]]*LOG(Table3[[#This Row],[Faust]],2))</f>
        <v>1.6646073012934626E-2</v>
      </c>
      <c r="N42">
        <f>IF(Table3[[#This Row],[Gatsby]]=0, 0, -Table3[[#This Row],[Gatsby]]*LOG(Table3[[#This Row],[Gatsby]], 2))</f>
        <v>8.6595755384707429E-3</v>
      </c>
      <c r="O42" s="1" t="s">
        <v>44</v>
      </c>
      <c r="P42">
        <f>IF(Table3[[#This Row],[Faust]]=0, 0, -Table3[[#This Row],[Candide]]*LOG(Table3[[#This Row],[Faust]],2))</f>
        <v>9.5910857912127247E-3</v>
      </c>
      <c r="Q42">
        <f>IF(Table3[[#This Row],[Gatsby]]=0, 0, -Table3[[#This Row],[Faust]]*LOG(Table3[[#This Row],[Gatsby]],2))</f>
        <v>1.8675780749728945E-2</v>
      </c>
      <c r="R42">
        <f>IF(Table3[[#This Row],[Gatsby]]=0, 0, -Table3[[#This Row],[Candide]]*LOG(Table3[[#This Row],[Gatsby]],2))</f>
        <v>1.0760556874245694E-2</v>
      </c>
      <c r="S42" s="20">
        <f>IF(Table3[[#This Row],[Candide]]=0, 0, -Table3[[#This Row],[Faust]]*LOG(Table3[[#This Row],[Candide]],2))</f>
        <v>1.8102116608164603E-2</v>
      </c>
      <c r="T42" s="20">
        <f>IF(Table3[[#This Row],[Faust]]=0, 0, -Table3[[#This Row],[Gatsby]]*LOG(Table3[[#This Row],[Faust]],2))</f>
        <v>7.7184417940063255E-3</v>
      </c>
      <c r="U42" s="20">
        <f>IF(Table3[[#This Row],[Candide]]=0, 0, -Table3[[#This Row],[Gatsby]]*LOG(Table3[[#This Row],[Candide]],2))</f>
        <v>8.3935792712110466E-3</v>
      </c>
    </row>
    <row r="43" spans="3:21" x14ac:dyDescent="0.2">
      <c r="C43" s="1" t="s">
        <v>45</v>
      </c>
      <c r="D43">
        <f t="shared" si="5"/>
        <v>14</v>
      </c>
      <c r="E43">
        <f t="shared" si="6"/>
        <v>16</v>
      </c>
      <c r="F43">
        <f t="shared" si="7"/>
        <v>47</v>
      </c>
      <c r="G43" s="1" t="s">
        <v>45</v>
      </c>
      <c r="H43">
        <f>Table2[[#This Row],[Candide]]/$D$2</f>
        <v>4.4745589363334184E-4</v>
      </c>
      <c r="I43">
        <f>Table2[[#This Row],[Faust]]/$E$2</f>
        <v>5.2301255230125519E-4</v>
      </c>
      <c r="J43">
        <f>Table2[[#This Row],[Gatsby]]/$F$2</f>
        <v>1.5343431705406112E-3</v>
      </c>
      <c r="K43" s="1" t="s">
        <v>45</v>
      </c>
      <c r="L43">
        <f>IF(Table3[[#This Row],[Candide]]=0, 0, -Table3[[#This Row],[Candide]]*LOG(Table3[[#This Row],[Candide]],2))</f>
        <v>4.9783794611817549E-3</v>
      </c>
      <c r="M43">
        <f>IF(Table3[[#This Row],[Faust]]=0, 0, -Table3[[#This Row],[Faust]]*LOG(Table3[[#This Row],[Faust]],2))</f>
        <v>5.7012901715380471E-3</v>
      </c>
      <c r="N43">
        <f>IF(Table3[[#This Row],[Gatsby]]=0, 0, -Table3[[#This Row],[Gatsby]]*LOG(Table3[[#This Row],[Gatsby]], 2))</f>
        <v>1.4343290199109057E-2</v>
      </c>
      <c r="O43" s="1" t="s">
        <v>45</v>
      </c>
      <c r="P43">
        <f>IF(Table3[[#This Row],[Faust]]=0, 0, -Table3[[#This Row],[Candide]]*LOG(Table3[[#This Row],[Faust]],2))</f>
        <v>4.87765709894306E-3</v>
      </c>
      <c r="Q43">
        <f>IF(Table3[[#This Row],[Gatsby]]=0, 0, -Table3[[#This Row],[Faust]]*LOG(Table3[[#This Row],[Gatsby]],2))</f>
        <v>4.8892066386885579E-3</v>
      </c>
      <c r="R43">
        <f>IF(Table3[[#This Row],[Gatsby]]=0, 0, -Table3[[#This Row],[Candide]]*LOG(Table3[[#This Row],[Gatsby]],2))</f>
        <v>4.1828906706857369E-3</v>
      </c>
      <c r="S43" s="20">
        <f>IF(Table3[[#This Row],[Candide]]=0, 0, -Table3[[#This Row],[Faust]]*LOG(Table3[[#This Row],[Candide]],2))</f>
        <v>5.8190203444954706E-3</v>
      </c>
      <c r="T43" s="20">
        <f>IF(Table3[[#This Row],[Faust]]=0, 0, -Table3[[#This Row],[Gatsby]]*LOG(Table3[[#This Row],[Faust]],2))</f>
        <v>1.6725670539798093E-2</v>
      </c>
      <c r="U43" s="20">
        <f>IF(Table3[[#This Row],[Candide]]=0, 0, -Table3[[#This Row],[Gatsby]]*LOG(Table3[[#This Row],[Candide]],2))</f>
        <v>1.7071051326643414E-2</v>
      </c>
    </row>
    <row r="44" spans="3:21" x14ac:dyDescent="0.2">
      <c r="C44" s="1" t="s">
        <v>46</v>
      </c>
      <c r="D44">
        <f t="shared" si="5"/>
        <v>8</v>
      </c>
      <c r="E44">
        <f t="shared" si="6"/>
        <v>46</v>
      </c>
      <c r="F44">
        <f t="shared" si="7"/>
        <v>100</v>
      </c>
      <c r="G44" s="1" t="s">
        <v>46</v>
      </c>
      <c r="H44">
        <f>Table2[[#This Row],[Candide]]/$D$2</f>
        <v>2.5568908207619537E-4</v>
      </c>
      <c r="I44">
        <f>Table2[[#This Row],[Faust]]/$E$2</f>
        <v>1.5036610878661088E-3</v>
      </c>
      <c r="J44">
        <f>Table2[[#This Row],[Gatsby]]/$F$2</f>
        <v>3.2645599373204493E-3</v>
      </c>
      <c r="K44" s="1" t="s">
        <v>46</v>
      </c>
      <c r="L44">
        <f>IF(Table3[[#This Row],[Candide]]=0, 0, -Table3[[#This Row],[Candide]]*LOG(Table3[[#This Row],[Candide]],2))</f>
        <v>3.0512201024630392E-3</v>
      </c>
      <c r="M44">
        <f>IF(Table3[[#This Row],[Faust]]=0, 0, -Table3[[#This Row],[Faust]]*LOG(Table3[[#This Row],[Faust]],2))</f>
        <v>1.4100288414895785E-2</v>
      </c>
      <c r="N44">
        <f>IF(Table3[[#This Row],[Gatsby]]=0, 0, -Table3[[#This Row],[Gatsby]]*LOG(Table3[[#This Row],[Gatsby]], 2))</f>
        <v>2.6961660208525189E-2</v>
      </c>
      <c r="O44" s="1" t="s">
        <v>46</v>
      </c>
      <c r="P44">
        <f>IF(Table3[[#This Row],[Faust]]=0, 0, -Table3[[#This Row],[Candide]]*LOG(Table3[[#This Row],[Faust]],2))</f>
        <v>2.3976744699370331E-3</v>
      </c>
      <c r="Q44">
        <f>IF(Table3[[#This Row],[Gatsby]]=0, 0, -Table3[[#This Row],[Faust]]*LOG(Table3[[#This Row],[Gatsby]],2))</f>
        <v>1.2418580175649518E-2</v>
      </c>
      <c r="R44">
        <f>IF(Table3[[#This Row],[Gatsby]]=0, 0, -Table3[[#This Row],[Candide]]*LOG(Table3[[#This Row],[Gatsby]],2))</f>
        <v>2.1117094745782246E-3</v>
      </c>
      <c r="S44" s="20">
        <f>IF(Table3[[#This Row],[Candide]]=0, 0, -Table3[[#This Row],[Faust]]*LOG(Table3[[#This Row],[Candide]],2))</f>
        <v>1.7943671670819675E-2</v>
      </c>
      <c r="T44" s="20">
        <f>IF(Table3[[#This Row],[Faust]]=0, 0, -Table3[[#This Row],[Gatsby]]*LOG(Table3[[#This Row],[Faust]],2))</f>
        <v>3.0612773739630894E-2</v>
      </c>
      <c r="U44" s="20">
        <f>IF(Table3[[#This Row],[Candide]]=0, 0, -Table3[[#This Row],[Gatsby]]*LOG(Table3[[#This Row],[Candide]],2))</f>
        <v>3.8957044335116695E-2</v>
      </c>
    </row>
    <row r="45" spans="3:21" x14ac:dyDescent="0.2">
      <c r="C45" s="1" t="s">
        <v>47</v>
      </c>
      <c r="D45">
        <f t="shared" si="5"/>
        <v>0</v>
      </c>
      <c r="E45">
        <f t="shared" si="6"/>
        <v>5</v>
      </c>
      <c r="F45">
        <f t="shared" si="7"/>
        <v>9</v>
      </c>
      <c r="G45" s="1" t="s">
        <v>47</v>
      </c>
      <c r="H45">
        <f>Table2[[#This Row],[Candide]]/$D$2</f>
        <v>0</v>
      </c>
      <c r="I45">
        <f>Table2[[#This Row],[Faust]]/$E$2</f>
        <v>1.6344142259414225E-4</v>
      </c>
      <c r="J45">
        <f>Table2[[#This Row],[Gatsby]]/$F$2</f>
        <v>2.9381039435884043E-4</v>
      </c>
      <c r="K45" s="1" t="s">
        <v>47</v>
      </c>
      <c r="L45">
        <f>IF(Table3[[#This Row],[Candide]]=0, 0, -Table3[[#This Row],[Candide]]*LOG(Table3[[#This Row],[Candide]],2))</f>
        <v>0</v>
      </c>
      <c r="M45">
        <f>IF(Table3[[#This Row],[Faust]]=0, 0, -Table3[[#This Row],[Faust]]*LOG(Table3[[#This Row],[Faust]],2))</f>
        <v>2.0559196379925119E-3</v>
      </c>
      <c r="N45">
        <f>IF(Table3[[#This Row],[Gatsby]]=0, 0, -Table3[[#This Row],[Gatsby]]*LOG(Table3[[#This Row],[Gatsby]], 2))</f>
        <v>3.4472265111866883E-3</v>
      </c>
      <c r="O45" s="1" t="s">
        <v>47</v>
      </c>
      <c r="P45">
        <f>IF(Table3[[#This Row],[Faust]]=0, 0, -Table3[[#This Row],[Candide]]*LOG(Table3[[#This Row],[Faust]],2))</f>
        <v>0</v>
      </c>
      <c r="Q45">
        <f>IF(Table3[[#This Row],[Gatsby]]=0, 0, -Table3[[#This Row],[Faust]]*LOG(Table3[[#This Row],[Gatsby]],2))</f>
        <v>1.9176299266814606E-3</v>
      </c>
      <c r="R45">
        <f>IF(Table3[[#This Row],[Gatsby]]=0, 0, -Table3[[#This Row],[Candide]]*LOG(Table3[[#This Row],[Gatsby]],2))</f>
        <v>0</v>
      </c>
      <c r="S45" s="20">
        <f>IF(Table3[[#This Row],[Candide]]=0, 0, -Table3[[#This Row],[Faust]]*LOG(Table3[[#This Row],[Candide]],2))</f>
        <v>0</v>
      </c>
      <c r="T45" s="20">
        <f>IF(Table3[[#This Row],[Faust]]=0, 0, -Table3[[#This Row],[Gatsby]]*LOG(Table3[[#This Row],[Faust]],2))</f>
        <v>3.6958229439096523E-3</v>
      </c>
      <c r="U45" s="20">
        <f>IF(Table3[[#This Row],[Candide]]=0, 0, -Table3[[#This Row],[Gatsby]]*LOG(Table3[[#This Row],[Candide]],2))</f>
        <v>0</v>
      </c>
    </row>
    <row r="46" spans="3:21" x14ac:dyDescent="0.2">
      <c r="C46" s="1" t="s">
        <v>48</v>
      </c>
      <c r="D46">
        <f t="shared" si="5"/>
        <v>7</v>
      </c>
      <c r="E46">
        <f t="shared" si="6"/>
        <v>28</v>
      </c>
      <c r="F46">
        <f t="shared" si="7"/>
        <v>76</v>
      </c>
      <c r="G46" s="1" t="s">
        <v>48</v>
      </c>
      <c r="H46">
        <f>Table2[[#This Row],[Candide]]/$D$2</f>
        <v>2.2372794681667092E-4</v>
      </c>
      <c r="I46">
        <f>Table2[[#This Row],[Faust]]/$E$2</f>
        <v>9.1527196652719666E-4</v>
      </c>
      <c r="J46">
        <f>Table2[[#This Row],[Gatsby]]/$F$2</f>
        <v>2.4810655523635414E-3</v>
      </c>
      <c r="K46" s="1" t="s">
        <v>48</v>
      </c>
      <c r="L46">
        <f>IF(Table3[[#This Row],[Candide]]=0, 0, -Table3[[#This Row],[Candide]]*LOG(Table3[[#This Row],[Candide]],2))</f>
        <v>2.7129176774075489E-3</v>
      </c>
      <c r="M46">
        <f>IF(Table3[[#This Row],[Faust]]=0, 0, -Table3[[#This Row],[Faust]]*LOG(Table3[[#This Row],[Faust]],2))</f>
        <v>9.2383084729945088E-3</v>
      </c>
      <c r="N46">
        <f>IF(Table3[[#This Row],[Gatsby]]=0, 0, -Table3[[#This Row],[Gatsby]]*LOG(Table3[[#This Row],[Gatsby]], 2))</f>
        <v>2.147318675851723E-2</v>
      </c>
      <c r="O46" s="1" t="s">
        <v>48</v>
      </c>
      <c r="P46">
        <f>IF(Table3[[#This Row],[Faust]]=0, 0, -Table3[[#This Row],[Candide]]*LOG(Table3[[#This Row],[Faust]],2))</f>
        <v>2.2582006904072489E-3</v>
      </c>
      <c r="Q46">
        <f>IF(Table3[[#This Row],[Gatsby]]=0, 0, -Table3[[#This Row],[Faust]]*LOG(Table3[[#This Row],[Gatsby]],2))</f>
        <v>7.9215181772811227E-3</v>
      </c>
      <c r="R46">
        <f>IF(Table3[[#This Row],[Gatsby]]=0, 0, -Table3[[#This Row],[Candide]]*LOG(Table3[[#This Row],[Gatsby]],2))</f>
        <v>1.9363261000973546E-3</v>
      </c>
      <c r="S46" s="20">
        <f>IF(Table3[[#This Row],[Candide]]=0, 0, -Table3[[#This Row],[Faust]]*LOG(Table3[[#This Row],[Candide]],2))</f>
        <v>1.1098557569394273E-2</v>
      </c>
      <c r="T46" s="20">
        <f>IF(Table3[[#This Row],[Faust]]=0, 0, -Table3[[#This Row],[Gatsby]]*LOG(Table3[[#This Row],[Faust]],2))</f>
        <v>2.5042664642535874E-2</v>
      </c>
      <c r="U46" s="20">
        <f>IF(Table3[[#This Row],[Candide]]=0, 0, -Table3[[#This Row],[Gatsby]]*LOG(Table3[[#This Row],[Candide]],2))</f>
        <v>3.0085318761403957E-2</v>
      </c>
    </row>
    <row r="47" spans="3:21" x14ac:dyDescent="0.2">
      <c r="C47" s="1" t="s">
        <v>49</v>
      </c>
      <c r="D47">
        <f t="shared" si="5"/>
        <v>37</v>
      </c>
      <c r="E47">
        <f t="shared" si="6"/>
        <v>174</v>
      </c>
      <c r="F47">
        <f t="shared" si="7"/>
        <v>31</v>
      </c>
      <c r="G47" s="1" t="s">
        <v>49</v>
      </c>
      <c r="H47">
        <f>Table2[[#This Row],[Candide]]/$D$2</f>
        <v>1.1825620046024034E-3</v>
      </c>
      <c r="I47">
        <f>Table2[[#This Row],[Faust]]/$E$2</f>
        <v>5.6877615062761507E-3</v>
      </c>
      <c r="J47">
        <f>Table2[[#This Row],[Gatsby]]/$F$2</f>
        <v>1.0120135805693393E-3</v>
      </c>
      <c r="K47" s="1" t="s">
        <v>49</v>
      </c>
      <c r="L47">
        <f>IF(Table3[[#This Row],[Candide]]=0, 0, -Table3[[#This Row],[Candide]]*LOG(Table3[[#This Row],[Candide]],2))</f>
        <v>1.1499077372757856E-2</v>
      </c>
      <c r="M47">
        <f>IF(Table3[[#This Row],[Faust]]=0, 0, -Table3[[#This Row],[Faust]]*LOG(Table3[[#This Row],[Faust]],2))</f>
        <v>4.2418889131504038E-2</v>
      </c>
      <c r="N47">
        <f>IF(Table3[[#This Row],[Gatsby]]=0, 0, -Table3[[#This Row],[Gatsby]]*LOG(Table3[[#This Row],[Gatsby]], 2))</f>
        <v>1.0068073409126466E-2</v>
      </c>
      <c r="O47" s="1" t="s">
        <v>49</v>
      </c>
      <c r="P47">
        <f>IF(Table3[[#This Row],[Faust]]=0, 0, -Table3[[#This Row],[Candide]]*LOG(Table3[[#This Row],[Faust]],2))</f>
        <v>8.819456742165839E-3</v>
      </c>
      <c r="Q47">
        <f>IF(Table3[[#This Row],[Gatsby]]=0, 0, -Table3[[#This Row],[Faust]]*LOG(Table3[[#This Row],[Gatsby]],2))</f>
        <v>5.6585011780746985E-2</v>
      </c>
      <c r="R47">
        <f>IF(Table3[[#This Row],[Gatsby]]=0, 0, -Table3[[#This Row],[Candide]]*LOG(Table3[[#This Row],[Gatsby]],2))</f>
        <v>1.1764783893989439E-2</v>
      </c>
      <c r="S47" s="20">
        <f>IF(Table3[[#This Row],[Candide]]=0, 0, -Table3[[#This Row],[Faust]]*LOG(Table3[[#This Row],[Candide]],2))</f>
        <v>5.5307044691033445E-2</v>
      </c>
      <c r="T47" s="20">
        <f>IF(Table3[[#This Row],[Faust]]=0, 0, -Table3[[#This Row],[Gatsby]]*LOG(Table3[[#This Row],[Faust]],2))</f>
        <v>7.5475196747222728E-3</v>
      </c>
      <c r="U47" s="20">
        <f>IF(Table3[[#This Row],[Candide]]=0, 0, -Table3[[#This Row],[Gatsby]]*LOG(Table3[[#This Row],[Candide]],2))</f>
        <v>9.8406869322350439E-3</v>
      </c>
    </row>
    <row r="48" spans="3:21" x14ac:dyDescent="0.2">
      <c r="C48" s="1" t="s">
        <v>50</v>
      </c>
      <c r="D48">
        <f t="shared" si="5"/>
        <v>111</v>
      </c>
      <c r="E48">
        <f t="shared" si="6"/>
        <v>86</v>
      </c>
      <c r="F48">
        <f t="shared" si="7"/>
        <v>85</v>
      </c>
      <c r="G48" s="1" t="s">
        <v>50</v>
      </c>
      <c r="H48">
        <f>Table2[[#This Row],[Candide]]/$D$2</f>
        <v>3.5476860138072106E-3</v>
      </c>
      <c r="I48">
        <f>Table2[[#This Row],[Faust]]/$E$2</f>
        <v>2.8111924686192468E-3</v>
      </c>
      <c r="J48">
        <f>Table2[[#This Row],[Gatsby]]/$F$2</f>
        <v>2.7748759467223819E-3</v>
      </c>
      <c r="K48" s="1" t="s">
        <v>50</v>
      </c>
      <c r="L48">
        <f>IF(Table3[[#This Row],[Candide]]=0, 0, -Table3[[#This Row],[Candide]]*LOG(Table3[[#This Row],[Candide]],2))</f>
        <v>2.887428282205623E-2</v>
      </c>
      <c r="M48">
        <f>IF(Table3[[#This Row],[Faust]]=0, 0, -Table3[[#This Row],[Faust]]*LOG(Table3[[#This Row],[Faust]],2))</f>
        <v>2.3823737466722145E-2</v>
      </c>
      <c r="N48">
        <f>IF(Table3[[#This Row],[Gatsby]]=0, 0, -Table3[[#This Row],[Gatsby]]*LOG(Table3[[#This Row],[Gatsby]], 2))</f>
        <v>2.3568023169905954E-2</v>
      </c>
      <c r="O48" s="1" t="s">
        <v>50</v>
      </c>
      <c r="P48">
        <f>IF(Table3[[#This Row],[Faust]]=0, 0, -Table3[[#This Row],[Candide]]*LOG(Table3[[#This Row],[Faust]],2))</f>
        <v>3.0065227176998534E-2</v>
      </c>
      <c r="Q48">
        <f>IF(Table3[[#This Row],[Gatsby]]=0, 0, -Table3[[#This Row],[Faust]]*LOG(Table3[[#This Row],[Gatsby]],2))</f>
        <v>2.3876472500956838E-2</v>
      </c>
      <c r="R48">
        <f>IF(Table3[[#This Row],[Gatsby]]=0, 0, -Table3[[#This Row],[Candide]]*LOG(Table3[[#This Row],[Gatsby]],2))</f>
        <v>3.0131778060824697E-2</v>
      </c>
      <c r="S48" s="20">
        <f>IF(Table3[[#This Row],[Candide]]=0, 0, -Table3[[#This Row],[Faust]]*LOG(Table3[[#This Row],[Candide]],2))</f>
        <v>2.2880031121761384E-2</v>
      </c>
      <c r="T48" s="20">
        <f>IF(Table3[[#This Row],[Faust]]=0, 0, -Table3[[#This Row],[Gatsby]]*LOG(Table3[[#This Row],[Faust]],2))</f>
        <v>2.3515969395687036E-2</v>
      </c>
      <c r="U48" s="20">
        <f>IF(Table3[[#This Row],[Candide]]=0, 0, -Table3[[#This Row],[Gatsby]]*LOG(Table3[[#This Row],[Candide]],2))</f>
        <v>2.2584454365452516E-2</v>
      </c>
    </row>
    <row r="49" spans="3:21" x14ac:dyDescent="0.2">
      <c r="C49" s="1" t="s">
        <v>51</v>
      </c>
      <c r="D49">
        <f t="shared" si="5"/>
        <v>3</v>
      </c>
      <c r="E49">
        <f t="shared" si="6"/>
        <v>93</v>
      </c>
      <c r="F49">
        <f t="shared" si="7"/>
        <v>28</v>
      </c>
      <c r="G49" s="1" t="s">
        <v>51</v>
      </c>
      <c r="H49">
        <f>Table2[[#This Row],[Candide]]/$D$2</f>
        <v>9.5883405778573249E-5</v>
      </c>
      <c r="I49">
        <f>Table2[[#This Row],[Faust]]/$E$2</f>
        <v>3.0400104602510462E-3</v>
      </c>
      <c r="J49">
        <f>Table2[[#This Row],[Gatsby]]/$F$2</f>
        <v>9.1407678244972577E-4</v>
      </c>
      <c r="K49" s="1" t="s">
        <v>51</v>
      </c>
      <c r="L49">
        <f>IF(Table3[[#This Row],[Candide]]=0, 0, -Table3[[#This Row],[Candide]]*LOG(Table3[[#This Row],[Candide]],2))</f>
        <v>1.2798861531588906E-3</v>
      </c>
      <c r="M49">
        <f>IF(Table3[[#This Row],[Faust]]=0, 0, -Table3[[#This Row],[Faust]]*LOG(Table3[[#This Row],[Faust]],2))</f>
        <v>2.5419679776057882E-2</v>
      </c>
      <c r="N49">
        <f>IF(Table3[[#This Row],[Gatsby]]=0, 0, -Table3[[#This Row],[Gatsby]]*LOG(Table3[[#This Row],[Gatsby]], 2))</f>
        <v>9.2279680281467623E-3</v>
      </c>
      <c r="O49" s="1" t="s">
        <v>51</v>
      </c>
      <c r="P49">
        <f>IF(Table3[[#This Row],[Faust]]=0, 0, -Table3[[#This Row],[Candide]]*LOG(Table3[[#This Row],[Faust]],2))</f>
        <v>8.0174904086608757E-4</v>
      </c>
      <c r="Q49">
        <f>IF(Table3[[#This Row],[Gatsby]]=0, 0, -Table3[[#This Row],[Faust]]*LOG(Table3[[#This Row],[Gatsby]],2))</f>
        <v>3.0690112549676643E-2</v>
      </c>
      <c r="R49">
        <f>IF(Table3[[#This Row],[Gatsby]]=0, 0, -Table3[[#This Row],[Candide]]*LOG(Table3[[#This Row],[Gatsby]],2))</f>
        <v>9.6798104923221902E-4</v>
      </c>
      <c r="S49" s="20">
        <f>IF(Table3[[#This Row],[Candide]]=0, 0, -Table3[[#This Row],[Faust]]*LOG(Table3[[#This Row],[Candide]],2))</f>
        <v>4.0579151960025379E-2</v>
      </c>
      <c r="T49" s="20">
        <f>IF(Table3[[#This Row],[Faust]]=0, 0, -Table3[[#This Row],[Gatsby]]*LOG(Table3[[#This Row],[Faust]],2))</f>
        <v>7.6432431415655545E-3</v>
      </c>
      <c r="U49" s="20">
        <f>IF(Table3[[#This Row],[Candide]]=0, 0, -Table3[[#This Row],[Gatsby]]*LOG(Table3[[#This Row],[Candide]],2))</f>
        <v>1.2201425338219185E-2</v>
      </c>
    </row>
    <row r="50" spans="3:21" x14ac:dyDescent="0.2">
      <c r="C50" s="1" t="s">
        <v>52</v>
      </c>
      <c r="D50">
        <f t="shared" si="5"/>
        <v>8</v>
      </c>
      <c r="E50">
        <f t="shared" si="6"/>
        <v>49</v>
      </c>
      <c r="F50">
        <f t="shared" si="7"/>
        <v>55</v>
      </c>
      <c r="G50" s="1" t="s">
        <v>52</v>
      </c>
      <c r="H50">
        <f>Table2[[#This Row],[Candide]]/$D$2</f>
        <v>2.5568908207619537E-4</v>
      </c>
      <c r="I50">
        <f>Table2[[#This Row],[Faust]]/$E$2</f>
        <v>1.6017259414225942E-3</v>
      </c>
      <c r="J50">
        <f>Table2[[#This Row],[Gatsby]]/$F$2</f>
        <v>1.7955079655262471E-3</v>
      </c>
      <c r="K50" s="1" t="s">
        <v>52</v>
      </c>
      <c r="L50">
        <f>IF(Table3[[#This Row],[Candide]]=0, 0, -Table3[[#This Row],[Candide]]*LOG(Table3[[#This Row],[Candide]],2))</f>
        <v>3.0512201024630392E-3</v>
      </c>
      <c r="M50">
        <f>IF(Table3[[#This Row],[Faust]]=0, 0, -Table3[[#This Row],[Faust]]*LOG(Table3[[#This Row],[Faust]],2))</f>
        <v>1.4873878505145512E-2</v>
      </c>
      <c r="N50">
        <f>IF(Table3[[#This Row],[Gatsby]]=0, 0, -Table3[[#This Row],[Gatsby]]*LOG(Table3[[#This Row],[Gatsby]], 2))</f>
        <v>1.6377532408034166E-2</v>
      </c>
      <c r="O50" s="1" t="s">
        <v>52</v>
      </c>
      <c r="P50">
        <f>IF(Table3[[#This Row],[Faust]]=0, 0, -Table3[[#This Row],[Candide]]*LOG(Table3[[#This Row],[Faust]],2))</f>
        <v>2.3743689501062493E-3</v>
      </c>
      <c r="Q50">
        <f>IF(Table3[[#This Row],[Gatsby]]=0, 0, -Table3[[#This Row],[Faust]]*LOG(Table3[[#This Row],[Gatsby]],2))</f>
        <v>1.4609970558804575E-2</v>
      </c>
      <c r="R50">
        <f>IF(Table3[[#This Row],[Gatsby]]=0, 0, -Table3[[#This Row],[Candide]]*LOG(Table3[[#This Row],[Gatsby]],2))</f>
        <v>2.332240406884557E-3</v>
      </c>
      <c r="S50" s="20">
        <f>IF(Table3[[#This Row],[Candide]]=0, 0, -Table3[[#This Row],[Faust]]*LOG(Table3[[#This Row],[Candide]],2))</f>
        <v>1.9113911127612265E-2</v>
      </c>
      <c r="T50" s="20">
        <f>IF(Table3[[#This Row],[Faust]]=0, 0, -Table3[[#This Row],[Gatsby]]*LOG(Table3[[#This Row],[Faust]],2))</f>
        <v>1.6673368797747608E-2</v>
      </c>
      <c r="U50" s="20">
        <f>IF(Table3[[#This Row],[Candide]]=0, 0, -Table3[[#This Row],[Gatsby]]*LOG(Table3[[#This Row],[Candide]],2))</f>
        <v>2.1426374384314183E-2</v>
      </c>
    </row>
    <row r="51" spans="3:21" x14ac:dyDescent="0.2">
      <c r="C51" s="1" t="s">
        <v>53</v>
      </c>
      <c r="D51">
        <f t="shared" si="5"/>
        <v>49</v>
      </c>
      <c r="E51">
        <f t="shared" si="6"/>
        <v>183</v>
      </c>
      <c r="F51">
        <f t="shared" si="7"/>
        <v>3</v>
      </c>
      <c r="G51" s="1" t="s">
        <v>53</v>
      </c>
      <c r="H51">
        <f>Table2[[#This Row],[Candide]]/$D$2</f>
        <v>1.5660956277166965E-3</v>
      </c>
      <c r="I51">
        <f>Table2[[#This Row],[Faust]]/$E$2</f>
        <v>5.9819560669456071E-3</v>
      </c>
      <c r="J51">
        <f>Table2[[#This Row],[Gatsby]]/$F$2</f>
        <v>9.7936798119613482E-5</v>
      </c>
      <c r="K51" s="1" t="s">
        <v>53</v>
      </c>
      <c r="L51">
        <f>IF(Table3[[#This Row],[Candide]]=0, 0, -Table3[[#This Row],[Candide]]*LOG(Table3[[#This Row],[Candide]],2))</f>
        <v>1.459383747296948E-2</v>
      </c>
      <c r="M51">
        <f>IF(Table3[[#This Row],[Faust]]=0, 0, -Table3[[#This Row],[Faust]]*LOG(Table3[[#This Row],[Faust]],2))</f>
        <v>4.4177744359783513E-2</v>
      </c>
      <c r="N51">
        <f>IF(Table3[[#This Row],[Gatsby]]=0, 0, -Table3[[#This Row],[Gatsby]]*LOG(Table3[[#This Row],[Gatsby]], 2))</f>
        <v>1.3043016561891819E-3</v>
      </c>
      <c r="O51" s="1" t="s">
        <v>53</v>
      </c>
      <c r="P51">
        <f>IF(Table3[[#This Row],[Faust]]=0, 0, -Table3[[#This Row],[Candide]]*LOG(Table3[[#This Row],[Faust]],2))</f>
        <v>1.1565877701199776E-2</v>
      </c>
      <c r="Q51">
        <f>IF(Table3[[#This Row],[Gatsby]]=0, 0, -Table3[[#This Row],[Faust]]*LOG(Table3[[#This Row],[Gatsby]],2))</f>
        <v>7.9666431363611664E-2</v>
      </c>
      <c r="R51">
        <f>IF(Table3[[#This Row],[Gatsby]]=0, 0, -Table3[[#This Row],[Candide]]*LOG(Table3[[#This Row],[Gatsby]],2))</f>
        <v>2.085693181930201E-2</v>
      </c>
      <c r="S51" s="20">
        <f>IF(Table3[[#This Row],[Candide]]=0, 0, -Table3[[#This Row],[Faust]]*LOG(Table3[[#This Row],[Candide]],2))</f>
        <v>5.5743527449040466E-2</v>
      </c>
      <c r="T51" s="20">
        <f>IF(Table3[[#This Row],[Faust]]=0, 0, -Table3[[#This Row],[Gatsby]]*LOG(Table3[[#This Row],[Faust]],2))</f>
        <v>7.2327960659082397E-4</v>
      </c>
      <c r="U51" s="20">
        <f>IF(Table3[[#This Row],[Candide]]=0, 0, -Table3[[#This Row],[Gatsby]]*LOG(Table3[[#This Row],[Candide]],2))</f>
        <v>9.1263501990902361E-4</v>
      </c>
    </row>
    <row r="52" spans="3:21" x14ac:dyDescent="0.2">
      <c r="C52" s="1" t="s">
        <v>54</v>
      </c>
      <c r="D52">
        <f t="shared" si="5"/>
        <v>1</v>
      </c>
      <c r="E52">
        <f t="shared" si="6"/>
        <v>0</v>
      </c>
      <c r="F52">
        <f t="shared" si="7"/>
        <v>58</v>
      </c>
      <c r="G52" s="1" t="s">
        <v>54</v>
      </c>
      <c r="H52">
        <f>Table2[[#This Row],[Candide]]/$D$2</f>
        <v>3.1961135259524421E-5</v>
      </c>
      <c r="I52">
        <f>Table2[[#This Row],[Faust]]/$E$2</f>
        <v>0</v>
      </c>
      <c r="J52">
        <f>Table2[[#This Row],[Gatsby]]/$F$2</f>
        <v>1.8934447636458605E-3</v>
      </c>
      <c r="K52" s="1" t="s">
        <v>54</v>
      </c>
      <c r="L52">
        <f>IF(Table3[[#This Row],[Candide]]=0, 0, -Table3[[#This Row],[Candide]]*LOG(Table3[[#This Row],[Candide]],2))</f>
        <v>4.7728591858645314E-4</v>
      </c>
      <c r="M52">
        <f>IF(Table3[[#This Row],[Faust]]=0, 0, -Table3[[#This Row],[Faust]]*LOG(Table3[[#This Row],[Faust]],2))</f>
        <v>0</v>
      </c>
      <c r="N52">
        <f>IF(Table3[[#This Row],[Gatsby]]=0, 0, -Table3[[#This Row],[Gatsby]]*LOG(Table3[[#This Row],[Gatsby]], 2))</f>
        <v>1.7125774193128433E-2</v>
      </c>
      <c r="O52" s="1" t="s">
        <v>54</v>
      </c>
      <c r="P52">
        <f>IF(Table3[[#This Row],[Faust]]=0, 0, -Table3[[#This Row],[Candide]]*LOG(Table3[[#This Row],[Faust]],2))</f>
        <v>0</v>
      </c>
      <c r="Q52">
        <f>IF(Table3[[#This Row],[Gatsby]]=0, 0, -Table3[[#This Row],[Faust]]*LOG(Table3[[#This Row],[Gatsby]],2))</f>
        <v>0</v>
      </c>
      <c r="R52">
        <f>IF(Table3[[#This Row],[Gatsby]]=0, 0, -Table3[[#This Row],[Candide]]*LOG(Table3[[#This Row],[Gatsby]],2))</f>
        <v>2.8908114771550081E-4</v>
      </c>
      <c r="S52" s="20">
        <f>IF(Table3[[#This Row],[Candide]]=0, 0, -Table3[[#This Row],[Faust]]*LOG(Table3[[#This Row],[Candide]],2))</f>
        <v>0</v>
      </c>
      <c r="T52" s="20">
        <f>IF(Table3[[#This Row],[Faust]]=0, 0, -Table3[[#This Row],[Gatsby]]*LOG(Table3[[#This Row],[Faust]],2))</f>
        <v>0</v>
      </c>
      <c r="U52" s="20">
        <f>IF(Table3[[#This Row],[Candide]]=0, 0, -Table3[[#This Row],[Gatsby]]*LOG(Table3[[#This Row],[Candide]],2))</f>
        <v>2.8275420005305262E-2</v>
      </c>
    </row>
    <row r="53" spans="3:21" x14ac:dyDescent="0.2">
      <c r="C53" s="1" t="s">
        <v>55</v>
      </c>
      <c r="D53">
        <f t="shared" si="5"/>
        <v>26</v>
      </c>
      <c r="E53">
        <f t="shared" si="6"/>
        <v>1</v>
      </c>
      <c r="F53">
        <f t="shared" si="7"/>
        <v>1</v>
      </c>
      <c r="G53" s="1" t="s">
        <v>55</v>
      </c>
      <c r="H53">
        <f>Table2[[#This Row],[Candide]]/$D$2</f>
        <v>8.3098951674763488E-4</v>
      </c>
      <c r="I53">
        <f>Table2[[#This Row],[Faust]]/$E$2</f>
        <v>3.2688284518828449E-5</v>
      </c>
      <c r="J53">
        <f>Table2[[#This Row],[Gatsby]]/$F$2</f>
        <v>3.2645599373204494E-5</v>
      </c>
      <c r="K53" s="1" t="s">
        <v>55</v>
      </c>
      <c r="L53">
        <f>IF(Table3[[#This Row],[Candide]]=0, 0, -Table3[[#This Row],[Candide]]*LOG(Table3[[#This Row],[Candide]],2))</f>
        <v>8.5034177533683253E-3</v>
      </c>
      <c r="M53">
        <f>IF(Table3[[#This Row],[Faust]]=0, 0, -Table3[[#This Row],[Faust]]*LOG(Table3[[#This Row],[Faust]],2))</f>
        <v>4.8708377379644182E-4</v>
      </c>
      <c r="N53">
        <f>IF(Table3[[#This Row],[Gatsby]]=0, 0, -Table3[[#This Row],[Gatsby]]*LOG(Table3[[#This Row],[Gatsby]], 2))</f>
        <v>4.8650926954982244E-4</v>
      </c>
      <c r="O53" s="1" t="s">
        <v>55</v>
      </c>
      <c r="P53">
        <f>IF(Table3[[#This Row],[Faust]]=0, 0, -Table3[[#This Row],[Candide]]*LOG(Table3[[#This Row],[Faust]],2))</f>
        <v>1.2382464107884796E-2</v>
      </c>
      <c r="Q53">
        <f>IF(Table3[[#This Row],[Gatsby]]=0, 0, -Table3[[#This Row],[Faust]]*LOG(Table3[[#This Row],[Gatsby]],2))</f>
        <v>4.871453956867861E-4</v>
      </c>
      <c r="R53">
        <f>IF(Table3[[#This Row],[Gatsby]]=0, 0, -Table3[[#This Row],[Candide]]*LOG(Table3[[#This Row],[Gatsby]],2))</f>
        <v>1.2384030636860912E-2</v>
      </c>
      <c r="S53" s="20">
        <f>IF(Table3[[#This Row],[Candide]]=0, 0, -Table3[[#This Row],[Faust]]*LOG(Table3[[#This Row],[Candide]],2))</f>
        <v>3.3449536161714999E-4</v>
      </c>
      <c r="T53" s="20">
        <f>IF(Table3[[#This Row],[Faust]]=0, 0, -Table3[[#This Row],[Gatsby]]*LOG(Table3[[#This Row],[Faust]],2))</f>
        <v>4.8644772812682E-4</v>
      </c>
      <c r="U53" s="20">
        <f>IF(Table3[[#This Row],[Candide]]=0, 0, -Table3[[#This Row],[Gatsby]]*LOG(Table3[[#This Row],[Candide]],2))</f>
        <v>3.3405856955444807E-4</v>
      </c>
    </row>
    <row r="54" spans="3:21" x14ac:dyDescent="0.2">
      <c r="C54" s="1" t="s">
        <v>56</v>
      </c>
      <c r="D54">
        <f t="shared" si="5"/>
        <v>1</v>
      </c>
      <c r="E54">
        <f t="shared" si="6"/>
        <v>51</v>
      </c>
      <c r="F54">
        <f t="shared" si="7"/>
        <v>1</v>
      </c>
      <c r="G54" s="1" t="s">
        <v>56</v>
      </c>
      <c r="H54">
        <f>Table2[[#This Row],[Candide]]/$D$2</f>
        <v>3.1961135259524421E-5</v>
      </c>
      <c r="I54">
        <f>Table2[[#This Row],[Faust]]/$E$2</f>
        <v>1.6671025104602511E-3</v>
      </c>
      <c r="J54">
        <f>Table2[[#This Row],[Gatsby]]/$F$2</f>
        <v>3.2645599373204494E-5</v>
      </c>
      <c r="K54" s="1" t="s">
        <v>56</v>
      </c>
      <c r="L54">
        <f>IF(Table3[[#This Row],[Candide]]=0, 0, -Table3[[#This Row],[Candide]]*LOG(Table3[[#This Row],[Candide]],2))</f>
        <v>4.7728591858645314E-4</v>
      </c>
      <c r="M54">
        <f>IF(Table3[[#This Row],[Faust]]=0, 0, -Table3[[#This Row],[Faust]]*LOG(Table3[[#This Row],[Faust]],2))</f>
        <v>1.5384757935619504E-2</v>
      </c>
      <c r="N54">
        <f>IF(Table3[[#This Row],[Gatsby]]=0, 0, -Table3[[#This Row],[Gatsby]]*LOG(Table3[[#This Row],[Gatsby]], 2))</f>
        <v>4.8650926954982244E-4</v>
      </c>
      <c r="O54" s="1" t="s">
        <v>56</v>
      </c>
      <c r="P54">
        <f>IF(Table3[[#This Row],[Faust]]=0, 0, -Table3[[#This Row],[Candide]]*LOG(Table3[[#This Row],[Faust]],2))</f>
        <v>2.9495146592972558E-4</v>
      </c>
      <c r="Q54">
        <f>IF(Table3[[#This Row],[Gatsby]]=0, 0, -Table3[[#This Row],[Faust]]*LOG(Table3[[#This Row],[Gatsby]],2))</f>
        <v>2.4844415180026093E-2</v>
      </c>
      <c r="R54">
        <f>IF(Table3[[#This Row],[Gatsby]]=0, 0, -Table3[[#This Row],[Candide]]*LOG(Table3[[#This Row],[Gatsby]],2))</f>
        <v>4.763088706484966E-4</v>
      </c>
      <c r="S54" s="20">
        <f>IF(Table3[[#This Row],[Candide]]=0, 0, -Table3[[#This Row],[Faust]]*LOG(Table3[[#This Row],[Candide]],2))</f>
        <v>2.4895378296854738E-2</v>
      </c>
      <c r="T54" s="20">
        <f>IF(Table3[[#This Row],[Faust]]=0, 0, -Table3[[#This Row],[Gatsby]]*LOG(Table3[[#This Row],[Faust]],2))</f>
        <v>3.0126800293840602E-4</v>
      </c>
      <c r="U54" s="20">
        <f>IF(Table3[[#This Row],[Candide]]=0, 0, -Table3[[#This Row],[Gatsby]]*LOG(Table3[[#This Row],[Candide]],2))</f>
        <v>4.8750724147078042E-4</v>
      </c>
    </row>
    <row r="55" spans="3:21" x14ac:dyDescent="0.2">
      <c r="C55" s="1">
        <v>0</v>
      </c>
      <c r="D55">
        <f t="shared" si="5"/>
        <v>2</v>
      </c>
      <c r="E55">
        <f t="shared" si="6"/>
        <v>6</v>
      </c>
      <c r="F55">
        <f t="shared" si="7"/>
        <v>9</v>
      </c>
      <c r="G55" s="1">
        <v>0</v>
      </c>
      <c r="H55">
        <f>Table2[[#This Row],[Candide]]/$D$2</f>
        <v>6.3922270519048841E-5</v>
      </c>
      <c r="I55">
        <f>Table2[[#This Row],[Faust]]/$E$2</f>
        <v>1.9612970711297071E-4</v>
      </c>
      <c r="J55">
        <f>Table2[[#This Row],[Gatsby]]/$F$2</f>
        <v>2.9381039435884043E-4</v>
      </c>
      <c r="K55" s="1">
        <v>0</v>
      </c>
      <c r="L55">
        <f>IF(Table3[[#This Row],[Candide]]=0, 0, -Table3[[#This Row],[Candide]]*LOG(Table3[[#This Row],[Candide]],2))</f>
        <v>8.906495666538576E-4</v>
      </c>
      <c r="M55">
        <f>IF(Table3[[#This Row],[Faust]]=0, 0, -Table3[[#This Row],[Faust]]*LOG(Table3[[#This Row],[Faust]],2))</f>
        <v>2.4155147046141983E-3</v>
      </c>
      <c r="N55">
        <f>IF(Table3[[#This Row],[Gatsby]]=0, 0, -Table3[[#This Row],[Gatsby]]*LOG(Table3[[#This Row],[Gatsby]], 2))</f>
        <v>3.4472265111866883E-3</v>
      </c>
      <c r="O55" s="1">
        <v>0</v>
      </c>
      <c r="P55">
        <f>IF(Table3[[#This Row],[Faust]]=0, 0, -Table3[[#This Row],[Candide]]*LOG(Table3[[#This Row],[Faust]],2))</f>
        <v>7.8726056681536647E-4</v>
      </c>
      <c r="Q55">
        <f>IF(Table3[[#This Row],[Gatsby]]=0, 0, -Table3[[#This Row],[Faust]]*LOG(Table3[[#This Row],[Gatsby]],2))</f>
        <v>2.3011559120177526E-3</v>
      </c>
      <c r="R55">
        <f>IF(Table3[[#This Row],[Gatsby]]=0, 0, -Table3[[#This Row],[Candide]]*LOG(Table3[[#This Row],[Gatsby]],2))</f>
        <v>7.4998893782970142E-4</v>
      </c>
      <c r="S55" s="20">
        <f>IF(Table3[[#This Row],[Candide]]=0, 0, -Table3[[#This Row],[Faust]]*LOG(Table3[[#This Row],[Candide]],2))</f>
        <v>2.732738327811117E-3</v>
      </c>
      <c r="T55" s="20">
        <f>IF(Table3[[#This Row],[Faust]]=0, 0, -Table3[[#This Row],[Gatsby]]*LOG(Table3[[#This Row],[Faust]],2))</f>
        <v>3.6185407014016819E-3</v>
      </c>
      <c r="U55" s="20">
        <f>IF(Table3[[#This Row],[Candide]]=0, 0, -Table3[[#This Row],[Gatsby]]*LOG(Table3[[#This Row],[Candide]],2))</f>
        <v>4.093754778878184E-3</v>
      </c>
    </row>
    <row r="56" spans="3:21" x14ac:dyDescent="0.2">
      <c r="C56" s="1" t="s">
        <v>57</v>
      </c>
      <c r="D56">
        <f t="shared" si="5"/>
        <v>5</v>
      </c>
      <c r="E56">
        <f t="shared" si="6"/>
        <v>2</v>
      </c>
      <c r="F56">
        <f t="shared" si="7"/>
        <v>51</v>
      </c>
      <c r="G56" s="1" t="s">
        <v>57</v>
      </c>
      <c r="H56">
        <f>Table2[[#This Row],[Candide]]/$D$2</f>
        <v>1.598056762976221E-4</v>
      </c>
      <c r="I56">
        <f>Table2[[#This Row],[Faust]]/$E$2</f>
        <v>6.5376569037656898E-5</v>
      </c>
      <c r="J56">
        <f>Table2[[#This Row],[Gatsby]]/$F$2</f>
        <v>1.6649255680334291E-3</v>
      </c>
      <c r="K56" s="1" t="s">
        <v>57</v>
      </c>
      <c r="L56">
        <f>IF(Table3[[#This Row],[Candide]]=0, 0, -Table3[[#This Row],[Candide]]*LOG(Table3[[#This Row],[Candide]],2))</f>
        <v>2.0153723034143415E-3</v>
      </c>
      <c r="M56">
        <f>IF(Table3[[#This Row],[Faust]]=0, 0, -Table3[[#This Row],[Faust]]*LOG(Table3[[#This Row],[Faust]],2))</f>
        <v>9.0879097855522679E-4</v>
      </c>
      <c r="N56">
        <f>IF(Table3[[#This Row],[Gatsby]]=0, 0, -Table3[[#This Row],[Gatsby]]*LOG(Table3[[#This Row],[Gatsby]], 2))</f>
        <v>1.5367806762431836E-2</v>
      </c>
      <c r="O56" s="1" t="s">
        <v>57</v>
      </c>
      <c r="P56">
        <f>IF(Table3[[#This Row],[Faust]]=0, 0, -Table3[[#This Row],[Candide]]*LOG(Table3[[#This Row],[Faust]],2))</f>
        <v>2.2214374213725312E-3</v>
      </c>
      <c r="Q56">
        <f>IF(Table3[[#This Row],[Gatsby]]=0, 0, -Table3[[#This Row],[Faust]]*LOG(Table3[[#This Row],[Gatsby]],2))</f>
        <v>6.0344708439321812E-4</v>
      </c>
      <c r="R56">
        <f>IF(Table3[[#This Row],[Gatsby]]=0, 0, -Table3[[#This Row],[Candide]]*LOG(Table3[[#This Row],[Gatsby]],2))</f>
        <v>1.4750585852209581E-3</v>
      </c>
      <c r="S56" s="20">
        <f>IF(Table3[[#This Row],[Candide]]=0, 0, -Table3[[#This Row],[Faust]]*LOG(Table3[[#This Row],[Candide]],2))</f>
        <v>8.244896525788168E-4</v>
      </c>
      <c r="T56" s="20">
        <f>IF(Table3[[#This Row],[Faust]]=0, 0, -Table3[[#This Row],[Gatsby]]*LOG(Table3[[#This Row],[Faust]],2))</f>
        <v>2.314390856643439E-2</v>
      </c>
      <c r="U56" s="20">
        <f>IF(Table3[[#This Row],[Candide]]=0, 0, -Table3[[#This Row],[Gatsby]]*LOG(Table3[[#This Row],[Candide]],2))</f>
        <v>2.0997031862696681E-2</v>
      </c>
    </row>
    <row r="57" spans="3:21" x14ac:dyDescent="0.2">
      <c r="C57" s="1" t="s">
        <v>58</v>
      </c>
      <c r="D57">
        <f t="shared" si="5"/>
        <v>5</v>
      </c>
      <c r="E57">
        <f t="shared" si="6"/>
        <v>2</v>
      </c>
      <c r="F57">
        <f t="shared" si="7"/>
        <v>23</v>
      </c>
      <c r="G57" s="1" t="s">
        <v>58</v>
      </c>
      <c r="H57">
        <f>Table2[[#This Row],[Candide]]/$D$2</f>
        <v>1.598056762976221E-4</v>
      </c>
      <c r="I57">
        <f>Table2[[#This Row],[Faust]]/$E$2</f>
        <v>6.5376569037656898E-5</v>
      </c>
      <c r="J57">
        <f>Table2[[#This Row],[Gatsby]]/$F$2</f>
        <v>7.5084878558370326E-4</v>
      </c>
      <c r="K57" s="1" t="s">
        <v>58</v>
      </c>
      <c r="L57">
        <f>IF(Table3[[#This Row],[Candide]]=0, 0, -Table3[[#This Row],[Candide]]*LOG(Table3[[#This Row],[Candide]],2))</f>
        <v>2.0153723034143415E-3</v>
      </c>
      <c r="M57">
        <f>IF(Table3[[#This Row],[Faust]]=0, 0, -Table3[[#This Row],[Faust]]*LOG(Table3[[#This Row],[Faust]],2))</f>
        <v>9.0879097855522679E-4</v>
      </c>
      <c r="N57">
        <f>IF(Table3[[#This Row],[Gatsby]]=0, 0, -Table3[[#This Row],[Gatsby]]*LOG(Table3[[#This Row],[Gatsby]], 2))</f>
        <v>7.793202198427867E-3</v>
      </c>
      <c r="O57" s="1" t="s">
        <v>58</v>
      </c>
      <c r="P57">
        <f>IF(Table3[[#This Row],[Faust]]=0, 0, -Table3[[#This Row],[Candide]]*LOG(Table3[[#This Row],[Faust]],2))</f>
        <v>2.2214374213725312E-3</v>
      </c>
      <c r="Q57">
        <f>IF(Table3[[#This Row],[Gatsby]]=0, 0, -Table3[[#This Row],[Faust]]*LOG(Table3[[#This Row],[Gatsby]],2))</f>
        <v>6.7855583085729265E-4</v>
      </c>
      <c r="R57">
        <f>IF(Table3[[#This Row],[Gatsby]]=0, 0, -Table3[[#This Row],[Candide]]*LOG(Table3[[#This Row],[Gatsby]],2))</f>
        <v>1.6586534755805979E-3</v>
      </c>
      <c r="S57" s="20">
        <f>IF(Table3[[#This Row],[Candide]]=0, 0, -Table3[[#This Row],[Faust]]*LOG(Table3[[#This Row],[Candide]],2))</f>
        <v>8.244896525788168E-4</v>
      </c>
      <c r="T57" s="20">
        <f>IF(Table3[[#This Row],[Faust]]=0, 0, -Table3[[#This Row],[Gatsby]]*LOG(Table3[[#This Row],[Faust]],2))</f>
        <v>1.0437448961333156E-2</v>
      </c>
      <c r="U57" s="20">
        <f>IF(Table3[[#This Row],[Candide]]=0, 0, -Table3[[#This Row],[Gatsby]]*LOG(Table3[[#This Row],[Candide]],2))</f>
        <v>9.4692496635690911E-3</v>
      </c>
    </row>
    <row r="58" spans="3:21" x14ac:dyDescent="0.2">
      <c r="C58" s="1" t="s">
        <v>59</v>
      </c>
      <c r="D58">
        <f t="shared" si="5"/>
        <v>1</v>
      </c>
      <c r="E58">
        <f t="shared" si="6"/>
        <v>0</v>
      </c>
      <c r="F58">
        <f t="shared" si="7"/>
        <v>3</v>
      </c>
      <c r="G58" s="1" t="s">
        <v>59</v>
      </c>
      <c r="H58">
        <f>Table2[[#This Row],[Candide]]/$D$2</f>
        <v>3.1961135259524421E-5</v>
      </c>
      <c r="I58">
        <f>Table2[[#This Row],[Faust]]/$E$2</f>
        <v>0</v>
      </c>
      <c r="J58">
        <f>Table2[[#This Row],[Gatsby]]/$F$2</f>
        <v>9.7936798119613482E-5</v>
      </c>
      <c r="K58" s="1" t="s">
        <v>59</v>
      </c>
      <c r="L58">
        <f>IF(Table3[[#This Row],[Candide]]=0, 0, -Table3[[#This Row],[Candide]]*LOG(Table3[[#This Row],[Candide]],2))</f>
        <v>4.7728591858645314E-4</v>
      </c>
      <c r="M58">
        <f>IF(Table3[[#This Row],[Faust]]=0, 0, -Table3[[#This Row],[Faust]]*LOG(Table3[[#This Row],[Faust]],2))</f>
        <v>0</v>
      </c>
      <c r="N58">
        <f>IF(Table3[[#This Row],[Gatsby]]=0, 0, -Table3[[#This Row],[Gatsby]]*LOG(Table3[[#This Row],[Gatsby]], 2))</f>
        <v>1.3043016561891819E-3</v>
      </c>
      <c r="O58" s="1" t="s">
        <v>59</v>
      </c>
      <c r="P58">
        <f>IF(Table3[[#This Row],[Faust]]=0, 0, -Table3[[#This Row],[Candide]]*LOG(Table3[[#This Row],[Faust]],2))</f>
        <v>0</v>
      </c>
      <c r="Q58">
        <f>IF(Table3[[#This Row],[Gatsby]]=0, 0, -Table3[[#This Row],[Faust]]*LOG(Table3[[#This Row],[Gatsby]],2))</f>
        <v>0</v>
      </c>
      <c r="R58">
        <f>IF(Table3[[#This Row],[Gatsby]]=0, 0, -Table3[[#This Row],[Candide]]*LOG(Table3[[#This Row],[Gatsby]],2))</f>
        <v>4.2565166978167368E-4</v>
      </c>
      <c r="S58" s="20">
        <f>IF(Table3[[#This Row],[Candide]]=0, 0, -Table3[[#This Row],[Faust]]*LOG(Table3[[#This Row],[Candide]],2))</f>
        <v>0</v>
      </c>
      <c r="T58" s="20">
        <f>IF(Table3[[#This Row],[Faust]]=0, 0, -Table3[[#This Row],[Gatsby]]*LOG(Table3[[#This Row],[Faust]],2))</f>
        <v>0</v>
      </c>
      <c r="U58" s="20">
        <f>IF(Table3[[#This Row],[Candide]]=0, 0, -Table3[[#This Row],[Gatsby]]*LOG(Table3[[#This Row],[Candide]],2))</f>
        <v>1.4625217244123411E-3</v>
      </c>
    </row>
    <row r="59" spans="3:21" x14ac:dyDescent="0.2">
      <c r="C59" s="1" t="s">
        <v>60</v>
      </c>
      <c r="D59">
        <f t="shared" si="5"/>
        <v>1</v>
      </c>
      <c r="E59">
        <f t="shared" si="6"/>
        <v>0</v>
      </c>
      <c r="F59">
        <f t="shared" si="7"/>
        <v>6</v>
      </c>
      <c r="G59" s="1" t="s">
        <v>60</v>
      </c>
      <c r="H59">
        <f>Table2[[#This Row],[Candide]]/$D$2</f>
        <v>3.1961135259524421E-5</v>
      </c>
      <c r="I59">
        <f>Table2[[#This Row],[Faust]]/$E$2</f>
        <v>0</v>
      </c>
      <c r="J59">
        <f>Table2[[#This Row],[Gatsby]]/$F$2</f>
        <v>1.9587359623922696E-4</v>
      </c>
      <c r="K59" s="1" t="s">
        <v>60</v>
      </c>
      <c r="L59">
        <f>IF(Table3[[#This Row],[Candide]]=0, 0, -Table3[[#This Row],[Candide]]*LOG(Table3[[#This Row],[Candide]],2))</f>
        <v>4.7728591858645314E-4</v>
      </c>
      <c r="M59">
        <f>IF(Table3[[#This Row],[Faust]]=0, 0, -Table3[[#This Row],[Faust]]*LOG(Table3[[#This Row],[Faust]],2))</f>
        <v>0</v>
      </c>
      <c r="N59">
        <f>IF(Table3[[#This Row],[Gatsby]]=0, 0, -Table3[[#This Row],[Gatsby]]*LOG(Table3[[#This Row],[Gatsby]], 2))</f>
        <v>2.4127297161391364E-3</v>
      </c>
      <c r="O59" s="1" t="s">
        <v>60</v>
      </c>
      <c r="P59">
        <f>IF(Table3[[#This Row],[Faust]]=0, 0, -Table3[[#This Row],[Candide]]*LOG(Table3[[#This Row],[Faust]],2))</f>
        <v>0</v>
      </c>
      <c r="Q59">
        <f>IF(Table3[[#This Row],[Gatsby]]=0, 0, -Table3[[#This Row],[Faust]]*LOG(Table3[[#This Row],[Gatsby]],2))</f>
        <v>0</v>
      </c>
      <c r="R59">
        <f>IF(Table3[[#This Row],[Gatsby]]=0, 0, -Table3[[#This Row],[Candide]]*LOG(Table3[[#This Row],[Gatsby]],2))</f>
        <v>3.9369053452214923E-4</v>
      </c>
      <c r="S59" s="20">
        <f>IF(Table3[[#This Row],[Candide]]=0, 0, -Table3[[#This Row],[Faust]]*LOG(Table3[[#This Row],[Candide]],2))</f>
        <v>0</v>
      </c>
      <c r="T59" s="20">
        <f>IF(Table3[[#This Row],[Faust]]=0, 0, -Table3[[#This Row],[Gatsby]]*LOG(Table3[[#This Row],[Faust]],2))</f>
        <v>0</v>
      </c>
      <c r="U59" s="20">
        <f>IF(Table3[[#This Row],[Candide]]=0, 0, -Table3[[#This Row],[Gatsby]]*LOG(Table3[[#This Row],[Candide]],2))</f>
        <v>2.9250434488246823E-3</v>
      </c>
    </row>
    <row r="60" spans="3:21" x14ac:dyDescent="0.2">
      <c r="C60" s="1" t="s">
        <v>61</v>
      </c>
      <c r="D60">
        <f t="shared" si="5"/>
        <v>2</v>
      </c>
      <c r="E60">
        <f t="shared" si="6"/>
        <v>0</v>
      </c>
      <c r="F60">
        <f t="shared" si="7"/>
        <v>12</v>
      </c>
      <c r="G60" s="1" t="s">
        <v>61</v>
      </c>
      <c r="H60">
        <f>Table2[[#This Row],[Candide]]/$D$2</f>
        <v>6.3922270519048841E-5</v>
      </c>
      <c r="I60">
        <f>Table2[[#This Row],[Faust]]/$E$2</f>
        <v>0</v>
      </c>
      <c r="J60">
        <f>Table2[[#This Row],[Gatsby]]/$F$2</f>
        <v>3.9174719247845393E-4</v>
      </c>
      <c r="K60" s="1" t="s">
        <v>61</v>
      </c>
      <c r="L60">
        <f>IF(Table3[[#This Row],[Candide]]=0, 0, -Table3[[#This Row],[Candide]]*LOG(Table3[[#This Row],[Candide]],2))</f>
        <v>8.906495666538576E-4</v>
      </c>
      <c r="M60">
        <f>IF(Table3[[#This Row],[Faust]]=0, 0, -Table3[[#This Row],[Faust]]*LOG(Table3[[#This Row],[Faust]],2))</f>
        <v>0</v>
      </c>
      <c r="N60">
        <f>IF(Table3[[#This Row],[Gatsby]]=0, 0, -Table3[[#This Row],[Gatsby]]*LOG(Table3[[#This Row],[Gatsby]], 2))</f>
        <v>4.4337122397998191E-3</v>
      </c>
      <c r="O60" s="1" t="s">
        <v>61</v>
      </c>
      <c r="P60">
        <f>IF(Table3[[#This Row],[Faust]]=0, 0, -Table3[[#This Row],[Candide]]*LOG(Table3[[#This Row],[Faust]],2))</f>
        <v>0</v>
      </c>
      <c r="Q60">
        <f>IF(Table3[[#This Row],[Gatsby]]=0, 0, -Table3[[#This Row],[Faust]]*LOG(Table3[[#This Row],[Gatsby]],2))</f>
        <v>0</v>
      </c>
      <c r="R60">
        <f>IF(Table3[[#This Row],[Gatsby]]=0, 0, -Table3[[#This Row],[Candide]]*LOG(Table3[[#This Row],[Gatsby]],2))</f>
        <v>7.2345879852524968E-4</v>
      </c>
      <c r="S60" s="20">
        <f>IF(Table3[[#This Row],[Candide]]=0, 0, -Table3[[#This Row],[Faust]]*LOG(Table3[[#This Row],[Candide]],2))</f>
        <v>0</v>
      </c>
      <c r="T60" s="20">
        <f>IF(Table3[[#This Row],[Faust]]=0, 0, -Table3[[#This Row],[Gatsby]]*LOG(Table3[[#This Row],[Faust]],2))</f>
        <v>0</v>
      </c>
      <c r="U60" s="20">
        <f>IF(Table3[[#This Row],[Candide]]=0, 0, -Table3[[#This Row],[Gatsby]]*LOG(Table3[[#This Row],[Candide]],2))</f>
        <v>5.4583397051709125E-3</v>
      </c>
    </row>
    <row r="61" spans="3:21" x14ac:dyDescent="0.2">
      <c r="C61" s="1" t="s">
        <v>62</v>
      </c>
      <c r="D61">
        <f t="shared" si="5"/>
        <v>2</v>
      </c>
      <c r="E61">
        <f t="shared" si="6"/>
        <v>1</v>
      </c>
      <c r="F61">
        <f t="shared" si="7"/>
        <v>22</v>
      </c>
      <c r="G61" s="1" t="s">
        <v>62</v>
      </c>
      <c r="H61">
        <f>Table2[[#This Row],[Candide]]/$D$2</f>
        <v>6.3922270519048841E-5</v>
      </c>
      <c r="I61">
        <f>Table2[[#This Row],[Faust]]/$E$2</f>
        <v>3.2688284518828449E-5</v>
      </c>
      <c r="J61">
        <f>Table2[[#This Row],[Gatsby]]/$F$2</f>
        <v>7.1820318621049878E-4</v>
      </c>
      <c r="K61" s="1" t="s">
        <v>62</v>
      </c>
      <c r="L61">
        <f>IF(Table3[[#This Row],[Candide]]=0, 0, -Table3[[#This Row],[Candide]]*LOG(Table3[[#This Row],[Candide]],2))</f>
        <v>8.906495666538576E-4</v>
      </c>
      <c r="M61">
        <f>IF(Table3[[#This Row],[Faust]]=0, 0, -Table3[[#This Row],[Faust]]*LOG(Table3[[#This Row],[Faust]],2))</f>
        <v>4.8708377379644182E-4</v>
      </c>
      <c r="N61">
        <f>IF(Table3[[#This Row],[Gatsby]]=0, 0, -Table3[[#This Row],[Gatsby]]*LOG(Table3[[#This Row],[Gatsby]], 2))</f>
        <v>7.5004259329029448E-3</v>
      </c>
      <c r="O61" s="1" t="s">
        <v>62</v>
      </c>
      <c r="P61">
        <f>IF(Table3[[#This Row],[Faust]]=0, 0, -Table3[[#This Row],[Candide]]*LOG(Table3[[#This Row],[Faust]],2))</f>
        <v>9.5249723906806131E-4</v>
      </c>
      <c r="Q61">
        <f>IF(Table3[[#This Row],[Gatsby]]=0, 0, -Table3[[#This Row],[Faust]]*LOG(Table3[[#This Row],[Gatsby]],2))</f>
        <v>3.4137422614451043E-4</v>
      </c>
      <c r="R61">
        <f>IF(Table3[[#This Row],[Gatsby]]=0, 0, -Table3[[#This Row],[Candide]]*LOG(Table3[[#This Row],[Gatsby]],2))</f>
        <v>6.675607470092601E-4</v>
      </c>
      <c r="S61" s="20">
        <f>IF(Table3[[#This Row],[Candide]]=0, 0, -Table3[[#This Row],[Faust]]*LOG(Table3[[#This Row],[Candide]],2))</f>
        <v>4.5545638796851942E-4</v>
      </c>
      <c r="T61" s="20">
        <f>IF(Table3[[#This Row],[Faust]]=0, 0, -Table3[[#This Row],[Gatsby]]*LOG(Table3[[#This Row],[Faust]],2))</f>
        <v>1.070185001879004E-2</v>
      </c>
      <c r="U61" s="20">
        <f>IF(Table3[[#This Row],[Candide]]=0, 0, -Table3[[#This Row],[Gatsby]]*LOG(Table3[[#This Row],[Candide]],2))</f>
        <v>1.000695612614667E-2</v>
      </c>
    </row>
    <row r="62" spans="3:21" x14ac:dyDescent="0.2">
      <c r="C62" s="1" t="s">
        <v>63</v>
      </c>
      <c r="D62">
        <f t="shared" si="5"/>
        <v>2</v>
      </c>
      <c r="E62">
        <f t="shared" si="6"/>
        <v>1</v>
      </c>
      <c r="F62">
        <f t="shared" si="7"/>
        <v>25</v>
      </c>
      <c r="G62" s="1" t="s">
        <v>63</v>
      </c>
      <c r="H62">
        <f>Table2[[#This Row],[Candide]]/$D$2</f>
        <v>6.3922270519048841E-5</v>
      </c>
      <c r="I62">
        <f>Table2[[#This Row],[Faust]]/$E$2</f>
        <v>3.2688284518828449E-5</v>
      </c>
      <c r="J62">
        <f>Table2[[#This Row],[Gatsby]]/$F$2</f>
        <v>8.1613998433011233E-4</v>
      </c>
      <c r="K62" s="1" t="s">
        <v>63</v>
      </c>
      <c r="L62">
        <f>IF(Table3[[#This Row],[Candide]]=0, 0, -Table3[[#This Row],[Candide]]*LOG(Table3[[#This Row],[Candide]],2))</f>
        <v>8.906495666538576E-4</v>
      </c>
      <c r="M62">
        <f>IF(Table3[[#This Row],[Faust]]=0, 0, -Table3[[#This Row],[Faust]]*LOG(Table3[[#This Row],[Faust]],2))</f>
        <v>4.8708377379644182E-4</v>
      </c>
      <c r="N62">
        <f>IF(Table3[[#This Row],[Gatsby]]=0, 0, -Table3[[#This Row],[Gatsby]]*LOG(Table3[[#This Row],[Gatsby]], 2))</f>
        <v>8.3726950207915225E-3</v>
      </c>
      <c r="O62" s="1" t="s">
        <v>63</v>
      </c>
      <c r="P62">
        <f>IF(Table3[[#This Row],[Faust]]=0, 0, -Table3[[#This Row],[Candide]]*LOG(Table3[[#This Row],[Faust]],2))</f>
        <v>9.5249723906806131E-4</v>
      </c>
      <c r="Q62">
        <f>IF(Table3[[#This Row],[Gatsby]]=0, 0, -Table3[[#This Row],[Faust]]*LOG(Table3[[#This Row],[Gatsby]],2))</f>
        <v>3.3534570329090725E-4</v>
      </c>
      <c r="R62">
        <f>IF(Table3[[#This Row],[Gatsby]]=0, 0, -Table3[[#This Row],[Candide]]*LOG(Table3[[#This Row],[Gatsby]],2))</f>
        <v>6.5577190968265384E-4</v>
      </c>
      <c r="S62" s="20">
        <f>IF(Table3[[#This Row],[Candide]]=0, 0, -Table3[[#This Row],[Faust]]*LOG(Table3[[#This Row],[Candide]],2))</f>
        <v>4.5545638796851942E-4</v>
      </c>
      <c r="T62" s="20">
        <f>IF(Table3[[#This Row],[Faust]]=0, 0, -Table3[[#This Row],[Gatsby]]*LOG(Table3[[#This Row],[Faust]],2))</f>
        <v>1.21611932031705E-2</v>
      </c>
      <c r="U62" s="20">
        <f>IF(Table3[[#This Row],[Candide]]=0, 0, -Table3[[#This Row],[Gatsby]]*LOG(Table3[[#This Row],[Candide]],2))</f>
        <v>1.1371541052439401E-2</v>
      </c>
    </row>
    <row r="63" spans="3:21" x14ac:dyDescent="0.2">
      <c r="C63" s="1" t="s">
        <v>64</v>
      </c>
      <c r="D63">
        <f t="shared" si="5"/>
        <v>0</v>
      </c>
      <c r="E63">
        <f t="shared" si="6"/>
        <v>2</v>
      </c>
      <c r="F63">
        <f t="shared" si="7"/>
        <v>14</v>
      </c>
      <c r="G63" s="1" t="s">
        <v>64</v>
      </c>
      <c r="H63">
        <f>Table2[[#This Row],[Candide]]/$D$2</f>
        <v>0</v>
      </c>
      <c r="I63">
        <f>Table2[[#This Row],[Faust]]/$E$2</f>
        <v>6.5376569037656898E-5</v>
      </c>
      <c r="J63">
        <f>Table2[[#This Row],[Gatsby]]/$F$2</f>
        <v>4.5703839122486289E-4</v>
      </c>
      <c r="K63" s="1" t="s">
        <v>64</v>
      </c>
      <c r="L63">
        <f>IF(Table3[[#This Row],[Candide]]=0, 0, -Table3[[#This Row],[Candide]]*LOG(Table3[[#This Row],[Candide]],2))</f>
        <v>0</v>
      </c>
      <c r="M63">
        <f>IF(Table3[[#This Row],[Faust]]=0, 0, -Table3[[#This Row],[Faust]]*LOG(Table3[[#This Row],[Faust]],2))</f>
        <v>9.0879097855522679E-4</v>
      </c>
      <c r="N63">
        <f>IF(Table3[[#This Row],[Gatsby]]=0, 0, -Table3[[#This Row],[Gatsby]]*LOG(Table3[[#This Row],[Gatsby]], 2))</f>
        <v>5.0710224052982434E-3</v>
      </c>
      <c r="O63" s="1" t="s">
        <v>64</v>
      </c>
      <c r="P63">
        <f>IF(Table3[[#This Row],[Faust]]=0, 0, -Table3[[#This Row],[Candide]]*LOG(Table3[[#This Row],[Faust]],2))</f>
        <v>0</v>
      </c>
      <c r="Q63">
        <f>IF(Table3[[#This Row],[Gatsby]]=0, 0, -Table3[[#This Row],[Faust]]*LOG(Table3[[#This Row],[Gatsby]],2))</f>
        <v>7.2537898946081042E-4</v>
      </c>
      <c r="R63">
        <f>IF(Table3[[#This Row],[Gatsby]]=0, 0, -Table3[[#This Row],[Candide]]*LOG(Table3[[#This Row],[Gatsby]],2))</f>
        <v>0</v>
      </c>
      <c r="S63" s="20">
        <f>IF(Table3[[#This Row],[Candide]]=0, 0, -Table3[[#This Row],[Faust]]*LOG(Table3[[#This Row],[Candide]],2))</f>
        <v>0</v>
      </c>
      <c r="T63" s="20">
        <f>IF(Table3[[#This Row],[Faust]]=0, 0, -Table3[[#This Row],[Gatsby]]*LOG(Table3[[#This Row],[Faust]],2))</f>
        <v>6.3532298025506164E-3</v>
      </c>
      <c r="U63" s="20">
        <f>IF(Table3[[#This Row],[Candide]]=0, 0, -Table3[[#This Row],[Gatsby]]*LOG(Table3[[#This Row],[Candide]],2))</f>
        <v>0</v>
      </c>
    </row>
    <row r="64" spans="3:21" x14ac:dyDescent="0.2">
      <c r="C64" s="1" t="s">
        <v>65</v>
      </c>
      <c r="D64">
        <f t="shared" si="5"/>
        <v>1</v>
      </c>
      <c r="E64">
        <f t="shared" si="6"/>
        <v>0</v>
      </c>
      <c r="F64">
        <f t="shared" si="7"/>
        <v>7</v>
      </c>
      <c r="G64" s="1" t="s">
        <v>65</v>
      </c>
      <c r="H64">
        <f>Table2[[#This Row],[Candide]]/$D$2</f>
        <v>3.1961135259524421E-5</v>
      </c>
      <c r="I64">
        <f>Table2[[#This Row],[Faust]]/$E$2</f>
        <v>0</v>
      </c>
      <c r="J64">
        <f>Table2[[#This Row],[Gatsby]]/$F$2</f>
        <v>2.2851919561243144E-4</v>
      </c>
      <c r="K64" s="1" t="s">
        <v>65</v>
      </c>
      <c r="L64">
        <f>IF(Table3[[#This Row],[Candide]]=0, 0, -Table3[[#This Row],[Candide]]*LOG(Table3[[#This Row],[Candide]],2))</f>
        <v>4.7728591858645314E-4</v>
      </c>
      <c r="M64">
        <f>IF(Table3[[#This Row],[Faust]]=0, 0, -Table3[[#This Row],[Faust]]*LOG(Table3[[#This Row],[Faust]],2))</f>
        <v>0</v>
      </c>
      <c r="N64">
        <f>IF(Table3[[#This Row],[Gatsby]]=0, 0, -Table3[[#This Row],[Gatsby]]*LOG(Table3[[#This Row],[Gatsby]], 2))</f>
        <v>2.7640303982615529E-3</v>
      </c>
      <c r="O64" s="1" t="s">
        <v>65</v>
      </c>
      <c r="P64">
        <f>IF(Table3[[#This Row],[Faust]]=0, 0, -Table3[[#This Row],[Candide]]*LOG(Table3[[#This Row],[Faust]],2))</f>
        <v>0</v>
      </c>
      <c r="Q64">
        <f>IF(Table3[[#This Row],[Gatsby]]=0, 0, -Table3[[#This Row],[Faust]]*LOG(Table3[[#This Row],[Gatsby]],2))</f>
        <v>0</v>
      </c>
      <c r="R64">
        <f>IF(Table3[[#This Row],[Gatsby]]=0, 0, -Table3[[#This Row],[Candide]]*LOG(Table3[[#This Row],[Gatsby]],2))</f>
        <v>3.8658262026312185E-4</v>
      </c>
      <c r="S64" s="20">
        <f>IF(Table3[[#This Row],[Candide]]=0, 0, -Table3[[#This Row],[Faust]]*LOG(Table3[[#This Row],[Candide]],2))</f>
        <v>0</v>
      </c>
      <c r="T64" s="20">
        <f>IF(Table3[[#This Row],[Faust]]=0, 0, -Table3[[#This Row],[Gatsby]]*LOG(Table3[[#This Row],[Faust]],2))</f>
        <v>0</v>
      </c>
      <c r="U64" s="20">
        <f>IF(Table3[[#This Row],[Candide]]=0, 0, -Table3[[#This Row],[Gatsby]]*LOG(Table3[[#This Row],[Candide]],2))</f>
        <v>3.4125506902954626E-3</v>
      </c>
    </row>
    <row r="65" spans="3:21" x14ac:dyDescent="0.2">
      <c r="C65" s="1" t="s">
        <v>66</v>
      </c>
      <c r="D65">
        <f t="shared" si="5"/>
        <v>376</v>
      </c>
      <c r="E65">
        <f t="shared" si="6"/>
        <v>530</v>
      </c>
      <c r="F65">
        <f t="shared" si="7"/>
        <v>502</v>
      </c>
      <c r="G65" s="1" t="s">
        <v>66</v>
      </c>
      <c r="H65">
        <f>Table2[[#This Row],[Candide]]/$D$2</f>
        <v>1.2017386857581181E-2</v>
      </c>
      <c r="I65">
        <f>Table2[[#This Row],[Faust]]/$E$2</f>
        <v>1.7324790794979079E-2</v>
      </c>
      <c r="J65">
        <f>Table2[[#This Row],[Gatsby]]/$F$2</f>
        <v>1.6388090885348656E-2</v>
      </c>
      <c r="K65" s="1" t="s">
        <v>66</v>
      </c>
      <c r="L65">
        <f>IF(Table3[[#This Row],[Candide]]=0, 0, -Table3[[#This Row],[Candide]]*LOG(Table3[[#This Row],[Candide]],2))</f>
        <v>7.6655701750345043E-2</v>
      </c>
      <c r="M65">
        <f>IF(Table3[[#This Row],[Faust]]=0, 0, -Table3[[#This Row],[Faust]]*LOG(Table3[[#This Row],[Faust]],2))</f>
        <v>0.1013676672666383</v>
      </c>
      <c r="N65">
        <f>IF(Table3[[#This Row],[Gatsby]]=0, 0, -Table3[[#This Row],[Gatsby]]*LOG(Table3[[#This Row],[Gatsby]], 2))</f>
        <v>9.7201182170001732E-2</v>
      </c>
      <c r="O65" s="1" t="s">
        <v>66</v>
      </c>
      <c r="P65">
        <f>IF(Table3[[#This Row],[Faust]]=0, 0, -Table3[[#This Row],[Candide]]*LOG(Table3[[#This Row],[Faust]],2))</f>
        <v>7.0313949923528199E-2</v>
      </c>
      <c r="Q65">
        <f>IF(Table3[[#This Row],[Gatsby]]=0, 0, -Table3[[#This Row],[Faust]]*LOG(Table3[[#This Row],[Gatsby]],2))</f>
        <v>0.10275694453375639</v>
      </c>
      <c r="R65">
        <f>IF(Table3[[#This Row],[Gatsby]]=0, 0, -Table3[[#This Row],[Candide]]*LOG(Table3[[#This Row],[Gatsby]],2))</f>
        <v>7.1277625766369535E-2</v>
      </c>
      <c r="S65" s="20">
        <f>IF(Table3[[#This Row],[Candide]]=0, 0, -Table3[[#This Row],[Faust]]*LOG(Table3[[#This Row],[Candide]],2))</f>
        <v>0.11051021422591897</v>
      </c>
      <c r="T65" s="20">
        <f>IF(Table3[[#This Row],[Faust]]=0, 0, -Table3[[#This Row],[Gatsby]]*LOG(Table3[[#This Row],[Faust]],2))</f>
        <v>9.5887018992627138E-2</v>
      </c>
      <c r="U65" s="20">
        <f>IF(Table3[[#This Row],[Candide]]=0, 0, -Table3[[#This Row],[Gatsby]]*LOG(Table3[[#This Row],[Candide]],2))</f>
        <v>0.10453525563024828</v>
      </c>
    </row>
    <row r="66" spans="3:21" x14ac:dyDescent="0.2">
      <c r="C66" s="1" t="s">
        <v>70</v>
      </c>
      <c r="D66">
        <f t="shared" si="5"/>
        <v>5476</v>
      </c>
      <c r="E66">
        <f t="shared" si="6"/>
        <v>4695</v>
      </c>
      <c r="F66">
        <f t="shared" si="7"/>
        <v>4977</v>
      </c>
      <c r="G66" s="1" t="s">
        <v>70</v>
      </c>
      <c r="H66">
        <f>Table2[[#This Row],[Candide]]/$D$2</f>
        <v>0.17501917668115571</v>
      </c>
      <c r="I66">
        <f>Table2[[#This Row],[Faust]]/$E$2</f>
        <v>0.15347149581589958</v>
      </c>
      <c r="J66">
        <f>Table2[[#This Row],[Gatsby]]/$F$2</f>
        <v>0.16247714808043875</v>
      </c>
      <c r="K66" s="1" t="s">
        <v>70</v>
      </c>
      <c r="L66">
        <f>IF(Table3[[#This Row],[Candide]]=0, 0, -Table3[[#This Row],[Candide]]*LOG(Table3[[#This Row],[Candide]],2))</f>
        <v>0.44007085879459695</v>
      </c>
      <c r="M66">
        <f>IF(Table3[[#This Row],[Faust]]=0, 0, -Table3[[#This Row],[Faust]]*LOG(Table3[[#This Row],[Faust]],2))</f>
        <v>0.41498038149643623</v>
      </c>
      <c r="N66">
        <f>IF(Table3[[#This Row],[Gatsby]]=0, 0, -Table3[[#This Row],[Gatsby]]*LOG(Table3[[#This Row],[Gatsby]], 2))</f>
        <v>0.42596492121254648</v>
      </c>
      <c r="O66" s="1" t="s">
        <v>70</v>
      </c>
      <c r="P66">
        <f>IF(Table3[[#This Row],[Faust]]=0, 0, -Table3[[#This Row],[Candide]]*LOG(Table3[[#This Row],[Faust]],2))</f>
        <v>0.47324439188018774</v>
      </c>
      <c r="Q66">
        <f>IF(Table3[[#This Row],[Gatsby]]=0, 0, -Table3[[#This Row],[Faust]]*LOG(Table3[[#This Row],[Gatsby]],2))</f>
        <v>0.4023548812613722</v>
      </c>
      <c r="R66">
        <f>IF(Table3[[#This Row],[Gatsby]]=0, 0, -Table3[[#This Row],[Candide]]*LOG(Table3[[#This Row],[Gatsby]],2))</f>
        <v>0.45884624814293407</v>
      </c>
      <c r="S66" s="20">
        <f>IF(Table3[[#This Row],[Candide]]=0, 0, -Table3[[#This Row],[Faust]]*LOG(Table3[[#This Row],[Candide]],2))</f>
        <v>0.38589104488380427</v>
      </c>
      <c r="T66" s="20">
        <f>IF(Table3[[#This Row],[Faust]]=0, 0, -Table3[[#This Row],[Gatsby]]*LOG(Table3[[#This Row],[Faust]],2))</f>
        <v>0.43933128126772486</v>
      </c>
      <c r="U66" s="20">
        <f>IF(Table3[[#This Row],[Candide]]=0, 0, -Table3[[#This Row],[Gatsby]]*LOG(Table3[[#This Row],[Candide]],2))</f>
        <v>0.40853499282832667</v>
      </c>
    </row>
    <row r="67" spans="3:21" x14ac:dyDescent="0.2">
      <c r="C67" s="1" t="s">
        <v>67</v>
      </c>
      <c r="D67">
        <f t="shared" ref="D67:D98" si="8">LEN($B$2)-LEN(SUBSTITUTE($B$2,C67,""))</f>
        <v>317</v>
      </c>
      <c r="E67">
        <f t="shared" si="6"/>
        <v>261</v>
      </c>
      <c r="F67">
        <f t="shared" si="7"/>
        <v>276</v>
      </c>
      <c r="G67" s="1" t="s">
        <v>67</v>
      </c>
      <c r="H67">
        <f>Table2[[#This Row],[Candide]]/$D$2</f>
        <v>1.0131679877269241E-2</v>
      </c>
      <c r="I67">
        <f>Table2[[#This Row],[Faust]]/$E$2</f>
        <v>8.5316422594142252E-3</v>
      </c>
      <c r="J67">
        <f>Table2[[#This Row],[Gatsby]]/$F$2</f>
        <v>9.0101854270044392E-3</v>
      </c>
      <c r="K67" s="1" t="s">
        <v>67</v>
      </c>
      <c r="L67">
        <f>IF(Table3[[#This Row],[Candide]]=0, 0, -Table3[[#This Row],[Candide]]*LOG(Table3[[#This Row],[Candide]],2))</f>
        <v>6.7122204826711579E-2</v>
      </c>
      <c r="M67">
        <f>IF(Table3[[#This Row],[Faust]]=0, 0, -Table3[[#This Row],[Faust]]*LOG(Table3[[#This Row],[Faust]],2))</f>
        <v>5.8637642905930806E-2</v>
      </c>
      <c r="N67">
        <f>IF(Table3[[#This Row],[Gatsby]]=0, 0, -Table3[[#This Row],[Gatsby]]*LOG(Table3[[#This Row],[Gatsby]], 2))</f>
        <v>6.1217249500779239E-2</v>
      </c>
      <c r="O67" s="1" t="s">
        <v>67</v>
      </c>
      <c r="P67">
        <f>IF(Table3[[#This Row],[Faust]]=0, 0, -Table3[[#This Row],[Candide]]*LOG(Table3[[#This Row],[Faust]],2))</f>
        <v>6.9634638750231528E-2</v>
      </c>
      <c r="Q67">
        <f>IF(Table3[[#This Row],[Gatsby]]=0, 0, -Table3[[#This Row],[Faust]]*LOG(Table3[[#This Row],[Gatsby]],2))</f>
        <v>5.7965918357308764E-2</v>
      </c>
      <c r="R67">
        <f>IF(Table3[[#This Row],[Gatsby]]=0, 0, -Table3[[#This Row],[Candide]]*LOG(Table3[[#This Row],[Gatsby]],2))</f>
        <v>6.8836937922488545E-2</v>
      </c>
      <c r="S67" s="20">
        <f>IF(Table3[[#This Row],[Candide]]=0, 0, -Table3[[#This Row],[Faust]]*LOG(Table3[[#This Row],[Candide]],2))</f>
        <v>5.6521983144119811E-2</v>
      </c>
      <c r="T67" s="20">
        <f>IF(Table3[[#This Row],[Faust]]=0, 0, -Table3[[#This Row],[Gatsby]]*LOG(Table3[[#This Row],[Faust]],2))</f>
        <v>6.1926651343346774E-2</v>
      </c>
      <c r="U67" s="20">
        <f>IF(Table3[[#This Row],[Candide]]=0, 0, -Table3[[#This Row],[Gatsby]]*LOG(Table3[[#This Row],[Candide]],2))</f>
        <v>5.9692323393961098E-2</v>
      </c>
    </row>
    <row r="69" spans="3:21" ht="18" customHeight="1" x14ac:dyDescent="0.2"/>
  </sheetData>
  <phoneticPr fontId="3" type="noConversion"/>
  <pageMargins left="0.7" right="0.7" top="0.75" bottom="0.75" header="0.3" footer="0.3"/>
  <ignoredErrors>
    <ignoredError sqref="P2" calculatedColumn="1"/>
  </ignoredErrors>
  <legacy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Constantin Sipos</dc:creator>
  <cp:lastModifiedBy>Patrick Constantin Sipos</cp:lastModifiedBy>
  <dcterms:created xsi:type="dcterms:W3CDTF">2025-02-02T15:08:10Z</dcterms:created>
  <dcterms:modified xsi:type="dcterms:W3CDTF">2025-02-02T16:32:59Z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2025-02-02T16:23:23Z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673a4b97-183f-4fea-b270-10189a97950e</vt:lpwstr>
  </property>
  <property fmtid="{D5CDD505-2E9C-101B-9397-08002B2CF9AE}" pid="8" name="MSIP_Label_5b58b62f-6f94-46bd-8089-18e64b0a9abb_ContentBits">
    <vt:lpwstr>0</vt:lpwstr>
  </property>
  <property fmtid="{D5CDD505-2E9C-101B-9397-08002B2CF9AE}" pid="9" name="MSIP_Label_5b58b62f-6f94-46bd-8089-18e64b0a9abb_Tag">
    <vt:lpwstr>50, 3, 0, 1</vt:lpwstr>
  </property>
</Properties>
</file>